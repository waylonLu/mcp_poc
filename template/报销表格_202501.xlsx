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报销表格_本地" sheetId="1" r:id="rId4"/>
    <sheet name="报销表格_海外" sheetId="2" r:id="rId5"/>
  </sheets>
</workbook>
</file>

<file path=xl/sharedStrings.xml><?xml version="1.0" encoding="utf-8"?>
<sst xmlns="http://schemas.openxmlformats.org/spreadsheetml/2006/main" uniqueCount="33">
  <si>
    <t>报销表格 - 本地</t>
  </si>
  <si>
    <t>姓名：</t>
  </si>
  <si>
    <t>报销时期：</t>
  </si>
  <si>
    <t>日期</t>
  </si>
  <si>
    <t>详情
(如与项目相关请注明)</t>
  </si>
  <si>
    <t>报销类别</t>
  </si>
  <si>
    <t>金额
(人民币)</t>
  </si>
  <si>
    <t>餐食</t>
  </si>
  <si>
    <t>交通</t>
  </si>
  <si>
    <t>娱乐</t>
  </si>
  <si>
    <t>医疗费</t>
  </si>
  <si>
    <t>通讯费</t>
  </si>
  <si>
    <t>电子相关</t>
  </si>
  <si>
    <t>其它费用</t>
  </si>
  <si>
    <t>***</t>
  </si>
  <si>
    <t>请把审批后的报销表格及发票于每月25日提交给人力资源部</t>
  </si>
  <si>
    <t>如需报销团体餐饮和交通费用，请注明参加的团体</t>
  </si>
  <si>
    <t>申请人签名：</t>
  </si>
  <si>
    <t>日期：</t>
  </si>
  <si>
    <t>确认收取报销费用签名：</t>
  </si>
  <si>
    <t>负责人 / 
项目经理签名：</t>
  </si>
  <si>
    <t>负责人 / 
项目经理姓名：</t>
  </si>
  <si>
    <t>报销表格 - 海外</t>
  </si>
  <si>
    <t>项目名称：</t>
  </si>
  <si>
    <t>原始货币</t>
  </si>
  <si>
    <t>人民币匯率</t>
  </si>
  <si>
    <t>细节</t>
  </si>
  <si>
    <t>金额
(原始货币)</t>
  </si>
  <si>
    <t>旅费报销
(机票)</t>
  </si>
  <si>
    <t>旅费报销
(住宿费)</t>
  </si>
  <si>
    <t>旅费报销
(车费)</t>
  </si>
  <si>
    <t>旅费报销
(餐费)</t>
  </si>
  <si>
    <t>以人民币支付的费用</t>
  </si>
</sst>
</file>

<file path=xl/styles.xml><?xml version="1.0" encoding="utf-8"?>
<styleSheet xmlns="http://schemas.openxmlformats.org/spreadsheetml/2006/main">
  <numFmts count="4">
    <numFmt numFmtId="0" formatCode="General"/>
    <numFmt numFmtId="59" formatCode="&quot; &quot;* #,##0.00&quot; &quot;;&quot; &quot;* (#,##0.00);&quot; &quot;* &quot;-&quot;??&quot; &quot;"/>
    <numFmt numFmtId="60" formatCode="mm/yy"/>
    <numFmt numFmtId="61" formatCode="mmm&quot; &quot;d&quot;, &quot;yy"/>
  </numFmts>
  <fonts count="8">
    <font>
      <sz val="12"/>
      <color indexed="8"/>
      <name val="新細明體"/>
    </font>
    <font>
      <sz val="12"/>
      <color indexed="8"/>
      <name val="Helvetica Neue"/>
    </font>
    <font>
      <sz val="15"/>
      <color indexed="8"/>
      <name val="Calibri"/>
    </font>
    <font>
      <b val="1"/>
      <sz val="16"/>
      <color indexed="8"/>
      <name val="SimSun (Body Asian)"/>
    </font>
    <font>
      <sz val="10"/>
      <color indexed="8"/>
      <name val="SimSun (Body Asian)"/>
    </font>
    <font>
      <b val="1"/>
      <sz val="14"/>
      <color indexed="8"/>
      <name val="SimSun (Body Asian)"/>
    </font>
    <font>
      <sz val="11"/>
      <color indexed="12"/>
      <name val="SimSun (Body Asian)"/>
    </font>
    <font>
      <sz val="11"/>
      <color indexed="8"/>
      <name val="SimSun (Body Asian)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2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3" fillId="2" borderId="1" applyNumberFormat="0" applyFont="1" applyFill="1" applyBorder="1" applyAlignment="1" applyProtection="0">
      <alignment horizontal="center" vertical="bottom"/>
    </xf>
    <xf numFmtId="0" fontId="0" fillId="2" borderId="1" applyNumberFormat="0" applyFont="1" applyFill="1" applyBorder="1" applyAlignment="1" applyProtection="0">
      <alignment vertical="bottom"/>
    </xf>
    <xf numFmtId="0" fontId="4" fillId="2" borderId="1" applyNumberFormat="0" applyFont="1" applyFill="1" applyBorder="1" applyAlignment="1" applyProtection="0">
      <alignment vertical="bottom"/>
    </xf>
    <xf numFmtId="59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horizontal="center" vertical="bottom"/>
    </xf>
    <xf numFmtId="0" fontId="5" fillId="2" borderId="1" applyNumberFormat="0" applyFont="1" applyFill="1" applyBorder="1" applyAlignment="1" applyProtection="0">
      <alignment horizontal="center"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60" fontId="0" fillId="2" borderId="3" applyNumberFormat="1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59" fontId="0" fillId="2" borderId="2" applyNumberFormat="1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center" wrapText="1"/>
    </xf>
    <xf numFmtId="0" fontId="0" fillId="2" borderId="4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center" wrapText="1"/>
    </xf>
    <xf numFmtId="61" fontId="0" fillId="2" borderId="5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59" fontId="0" fillId="2" borderId="5" applyNumberFormat="1" applyFont="1" applyFill="1" applyBorder="1" applyAlignment="1" applyProtection="0">
      <alignment vertical="bottom"/>
    </xf>
    <xf numFmtId="59" fontId="0" fillId="3" borderId="6" applyNumberFormat="1" applyFont="1" applyFill="1" applyBorder="1" applyAlignment="1" applyProtection="0">
      <alignment vertical="bottom"/>
    </xf>
    <xf numFmtId="61" fontId="0" fillId="2" borderId="7" applyNumberFormat="1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59" fontId="0" fillId="2" borderId="7" applyNumberFormat="1" applyFont="1" applyFill="1" applyBorder="1" applyAlignment="1" applyProtection="0">
      <alignment vertical="bottom"/>
    </xf>
    <xf numFmtId="59" fontId="0" fillId="3" borderId="8" applyNumberFormat="1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59" fontId="0" fillId="2" borderId="9" applyNumberFormat="1" applyFont="1" applyFill="1" applyBorder="1" applyAlignment="1" applyProtection="0">
      <alignment vertical="bottom"/>
    </xf>
    <xf numFmtId="0" fontId="0" fillId="3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59" fontId="0" fillId="2" borderId="4" applyNumberFormat="1" applyFont="1" applyFill="1" applyBorder="1" applyAlignment="1" applyProtection="0">
      <alignment vertical="bottom"/>
    </xf>
    <xf numFmtId="59" fontId="0" fillId="3" borderId="4" applyNumberFormat="1" applyFont="1" applyFill="1" applyBorder="1" applyAlignment="1" applyProtection="0">
      <alignment vertical="bottom"/>
    </xf>
    <xf numFmtId="49" fontId="6" fillId="2" borderId="1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 wrapText="1"/>
    </xf>
    <xf numFmtId="49" fontId="0" fillId="2" borderId="1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14" fontId="0" fillId="2" borderId="3" applyNumberFormat="1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center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7" fillId="2" borderId="4" applyNumberFormat="1" applyFont="1" applyFill="1" applyBorder="1" applyAlignment="1" applyProtection="0">
      <alignment horizontal="center" vertical="center"/>
    </xf>
    <xf numFmtId="0" fontId="0" fillId="2" borderId="16" applyNumberFormat="0" applyFont="1" applyFill="1" applyBorder="1" applyAlignment="1" applyProtection="0">
      <alignment vertical="bottom"/>
    </xf>
    <xf numFmtId="14" fontId="0" fillId="2" borderId="5" applyNumberFormat="1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59" fontId="0" fillId="2" borderId="17" applyNumberFormat="1" applyFont="1" applyFill="1" applyBorder="1" applyAlignment="1" applyProtection="0">
      <alignment vertical="bottom"/>
    </xf>
    <xf numFmtId="49" fontId="0" fillId="2" borderId="18" applyNumberFormat="1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/>
    </xf>
    <xf numFmtId="0" fontId="0" fillId="2" borderId="18" applyNumberFormat="0" applyFont="1" applyFill="1" applyBorder="1" applyAlignment="1" applyProtection="0">
      <alignment vertical="bottom"/>
    </xf>
    <xf numFmtId="0" fontId="0" fillId="2" borderId="20" applyNumberFormat="0" applyFont="1" applyFill="1" applyBorder="1" applyAlignment="1" applyProtection="0">
      <alignment vertical="bottom"/>
    </xf>
    <xf numFmtId="59" fontId="0" fillId="2" borderId="19" applyNumberFormat="1" applyFont="1" applyFill="1" applyBorder="1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59" fontId="0" fillId="2" borderId="22" applyNumberFormat="1" applyFont="1" applyFill="1" applyBorder="1" applyAlignment="1" applyProtection="0">
      <alignment vertical="bottom"/>
    </xf>
    <xf numFmtId="0" fontId="6" fillId="2" borderId="1" applyNumberFormat="0" applyFont="1" applyFill="1" applyBorder="1" applyAlignment="1" applyProtection="0">
      <alignment vertical="bottom"/>
    </xf>
    <xf numFmtId="59" fontId="6" fillId="2" borderId="1" applyNumberFormat="1" applyFont="1" applyFill="1" applyBorder="1" applyAlignment="1" applyProtection="0">
      <alignment vertical="bottom"/>
    </xf>
    <xf numFmtId="0" fontId="6" fillId="2" borderId="1" applyNumberFormat="0" applyFont="1" applyFill="1" applyBorder="1" applyAlignment="1" applyProtection="0">
      <alignment vertical="bottom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2f2f2"/>
      <rgbColor rgb="ffff0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49"/>
  <sheetViews>
    <sheetView workbookViewId="0" showGridLines="0" defaultGridColor="1"/>
  </sheetViews>
  <sheetFormatPr defaultColWidth="8.83333" defaultRowHeight="12.75" customHeight="1" outlineLevelRow="0" outlineLevelCol="0"/>
  <cols>
    <col min="1" max="1" width="15.3516" style="1" customWidth="1"/>
    <col min="2" max="2" width="24.3516" style="1" customWidth="1"/>
    <col min="3" max="3" width="16" style="1" customWidth="1"/>
    <col min="4" max="4" width="10.3516" style="1" customWidth="1"/>
    <col min="5" max="5" width="2" style="1" customWidth="1"/>
    <col min="6" max="12" width="9.35156" style="1" customWidth="1"/>
    <col min="13" max="13" width="1.5" style="1" customWidth="1"/>
    <col min="14" max="16384" width="8.85156" style="1" customWidth="1"/>
  </cols>
  <sheetData>
    <row r="1" ht="20.2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5" customHeight="1">
      <c r="A2" s="3"/>
      <c r="B2" s="3"/>
      <c r="C2" s="4"/>
      <c r="D2" s="5"/>
      <c r="E2" s="3"/>
      <c r="F2" s="3"/>
      <c r="G2" s="3"/>
      <c r="H2" s="3"/>
      <c r="I2" s="3"/>
      <c r="J2" s="3"/>
      <c r="K2" s="3"/>
      <c r="L2" s="3"/>
      <c r="M2" s="3"/>
    </row>
    <row r="3" ht="18.75" customHeight="1">
      <c r="A3" t="s" s="6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ht="15" customHeight="1">
      <c r="A4" s="3"/>
      <c r="B4" s="3"/>
      <c r="C4" s="4"/>
      <c r="D4" s="5"/>
      <c r="E4" s="3"/>
      <c r="F4" s="3"/>
      <c r="G4" s="3"/>
      <c r="H4" s="3"/>
      <c r="I4" s="3"/>
      <c r="J4" s="3"/>
      <c r="K4" s="3"/>
      <c r="L4" s="3"/>
      <c r="M4" s="3"/>
    </row>
    <row r="5" ht="21" customHeight="1">
      <c r="A5" t="s" s="8">
        <v>1</v>
      </c>
      <c r="B5" s="9"/>
      <c r="C5" s="9"/>
      <c r="D5" s="5"/>
      <c r="E5" s="3"/>
      <c r="F5" s="3"/>
      <c r="G5" s="3"/>
      <c r="H5" s="3"/>
      <c r="I5" s="3"/>
      <c r="J5" s="3"/>
      <c r="K5" s="3"/>
      <c r="L5" s="3"/>
      <c r="M5" s="3"/>
    </row>
    <row r="6" ht="21" customHeight="1">
      <c r="A6" t="s" s="8">
        <v>2</v>
      </c>
      <c r="B6" s="10"/>
      <c r="C6" s="11"/>
      <c r="D6" s="5"/>
      <c r="E6" s="3"/>
      <c r="F6" s="3"/>
      <c r="G6" s="3"/>
      <c r="H6" s="3"/>
      <c r="I6" s="3"/>
      <c r="J6" s="3"/>
      <c r="K6" s="3"/>
      <c r="L6" s="3"/>
      <c r="M6" s="3"/>
    </row>
    <row r="7" ht="14.25" customHeight="1">
      <c r="A7" s="9"/>
      <c r="B7" s="11"/>
      <c r="C7" s="11"/>
      <c r="D7" s="12"/>
      <c r="E7" s="9"/>
      <c r="F7" s="9"/>
      <c r="G7" s="9"/>
      <c r="H7" s="9"/>
      <c r="I7" s="9"/>
      <c r="J7" s="9"/>
      <c r="K7" s="9"/>
      <c r="L7" s="9"/>
      <c r="M7" s="9"/>
    </row>
    <row r="8" ht="28.5" customHeight="1">
      <c r="A8" t="s" s="13">
        <v>3</v>
      </c>
      <c r="B8" t="s" s="14">
        <v>4</v>
      </c>
      <c r="C8" t="s" s="13">
        <v>5</v>
      </c>
      <c r="D8" t="s" s="14">
        <v>6</v>
      </c>
      <c r="E8" s="15"/>
      <c r="F8" t="s" s="14">
        <v>7</v>
      </c>
      <c r="G8" t="s" s="14">
        <v>8</v>
      </c>
      <c r="H8" t="s" s="14">
        <v>9</v>
      </c>
      <c r="I8" t="s" s="14">
        <v>10</v>
      </c>
      <c r="J8" t="s" s="14">
        <v>11</v>
      </c>
      <c r="K8" t="s" s="14">
        <v>12</v>
      </c>
      <c r="L8" t="s" s="14">
        <v>13</v>
      </c>
      <c r="M8" s="16"/>
    </row>
    <row r="9" ht="14.25" customHeight="1">
      <c r="A9" s="17"/>
      <c r="B9" s="18"/>
      <c r="C9" s="18"/>
      <c r="D9" s="19"/>
      <c r="E9" s="18"/>
      <c r="F9" s="20">
        <f>IF(F$8=$C9,$D9,0)</f>
        <v>0</v>
      </c>
      <c r="G9" s="20">
        <f>IF(G$8=$C9,$D9,0)</f>
        <v>0</v>
      </c>
      <c r="H9" s="20">
        <f>IF(H$8=$C9,$D9,0)</f>
        <v>0</v>
      </c>
      <c r="I9" s="20">
        <f>IF(I$8=$C9,$D9,0)</f>
        <v>0</v>
      </c>
      <c r="J9" s="20">
        <f>IF(J$8=$C9,$D9,0)</f>
        <v>0</v>
      </c>
      <c r="K9" s="20">
        <f>IF(K$8=$C9,$D9,0)</f>
        <v>0</v>
      </c>
      <c r="L9" s="20">
        <f>IF(L$8=$C9,$D9,0)</f>
        <v>0</v>
      </c>
      <c r="M9" s="20">
        <f>IF(M$8=$C9,$D9,0)</f>
        <v>0</v>
      </c>
    </row>
    <row r="10" ht="14.25" customHeight="1">
      <c r="A10" s="21"/>
      <c r="B10" s="22"/>
      <c r="C10" s="22"/>
      <c r="D10" s="23"/>
      <c r="E10" s="22"/>
      <c r="F10" s="24">
        <f>IF(F$8=$C10,$D10,0)</f>
        <v>0</v>
      </c>
      <c r="G10" s="24">
        <f>IF(G$8=$C10,$D10,0)</f>
        <v>0</v>
      </c>
      <c r="H10" s="24">
        <f>IF(H$8=$C10,$D10,0)</f>
        <v>0</v>
      </c>
      <c r="I10" s="24">
        <f>IF(I$8=$C10,$D10,0)</f>
        <v>0</v>
      </c>
      <c r="J10" s="24">
        <f>IF(J$8=$C10,$D10,0)</f>
        <v>0</v>
      </c>
      <c r="K10" s="24">
        <f>IF(K$8=$C10,$D10,0)</f>
        <v>0</v>
      </c>
      <c r="L10" s="24">
        <f>IF(L$8=$C10,$D10,0)</f>
        <v>0</v>
      </c>
      <c r="M10" s="24">
        <f>IF(M$8=$C10,$D10,0)</f>
        <v>0</v>
      </c>
    </row>
    <row r="11" ht="14.25" customHeight="1">
      <c r="A11" s="22"/>
      <c r="B11" s="22"/>
      <c r="C11" s="22"/>
      <c r="D11" s="23"/>
      <c r="E11" s="22"/>
      <c r="F11" s="24">
        <f>IF(F$8=$C11,$D11,0)</f>
        <v>0</v>
      </c>
      <c r="G11" s="24">
        <f>IF(G$8=$C11,$D11,0)</f>
        <v>0</v>
      </c>
      <c r="H11" s="24">
        <f>IF(H$8=$C11,$D11,0)</f>
        <v>0</v>
      </c>
      <c r="I11" s="24">
        <f>IF(I$8=$C11,$D11,0)</f>
        <v>0</v>
      </c>
      <c r="J11" s="24">
        <f>IF(J$8=$C11,$D11,0)</f>
        <v>0</v>
      </c>
      <c r="K11" s="24">
        <f>IF(K$8=$C11,$D11,0)</f>
        <v>0</v>
      </c>
      <c r="L11" s="24">
        <f>IF(L$8=$C11,$D11,0)</f>
        <v>0</v>
      </c>
      <c r="M11" s="24">
        <f>IF(M$8=$C11,$D11,0)</f>
        <v>0</v>
      </c>
    </row>
    <row r="12" ht="14.25" customHeight="1">
      <c r="A12" s="22"/>
      <c r="B12" s="22"/>
      <c r="C12" s="22"/>
      <c r="D12" s="23"/>
      <c r="E12" s="22"/>
      <c r="F12" s="24">
        <f>IF(F$8=$C12,$D12,0)</f>
        <v>0</v>
      </c>
      <c r="G12" s="24">
        <f>IF(G$8=$C12,$D12,0)</f>
        <v>0</v>
      </c>
      <c r="H12" s="24">
        <f>IF(H$8=$C12,$D12,0)</f>
        <v>0</v>
      </c>
      <c r="I12" s="24">
        <f>IF(I$8=$C12,$D12,0)</f>
        <v>0</v>
      </c>
      <c r="J12" s="24">
        <f>IF(J$8=$C12,$D12,0)</f>
        <v>0</v>
      </c>
      <c r="K12" s="24">
        <f>IF(K$8=$C12,$D12,0)</f>
        <v>0</v>
      </c>
      <c r="L12" s="24">
        <f>IF(L$8=$C12,$D12,0)</f>
        <v>0</v>
      </c>
      <c r="M12" s="24">
        <f>IF(M$8=$C12,$D12,0)</f>
        <v>0</v>
      </c>
    </row>
    <row r="13" ht="14.25" customHeight="1">
      <c r="A13" s="22"/>
      <c r="B13" s="22"/>
      <c r="C13" s="22"/>
      <c r="D13" s="23"/>
      <c r="E13" s="22"/>
      <c r="F13" s="24">
        <f>IF(F$8=$C13,$D13,0)</f>
        <v>0</v>
      </c>
      <c r="G13" s="24">
        <f>IF(G$8=$C13,$D13,0)</f>
        <v>0</v>
      </c>
      <c r="H13" s="24">
        <f>IF(H$8=$C13,$D13,0)</f>
        <v>0</v>
      </c>
      <c r="I13" s="24">
        <f>IF(I$8=$C13,$D13,0)</f>
        <v>0</v>
      </c>
      <c r="J13" s="24">
        <f>IF(J$8=$C13,$D13,0)</f>
        <v>0</v>
      </c>
      <c r="K13" s="24">
        <f>IF(K$8=$C13,$D13,0)</f>
        <v>0</v>
      </c>
      <c r="L13" s="24">
        <f>IF(L$8=$C13,$D13,0)</f>
        <v>0</v>
      </c>
      <c r="M13" s="24">
        <f>IF(M$8=$C13,$D13,0)</f>
        <v>0</v>
      </c>
    </row>
    <row r="14" ht="14.25" customHeight="1">
      <c r="A14" s="22"/>
      <c r="B14" s="22"/>
      <c r="C14" s="22"/>
      <c r="D14" s="23"/>
      <c r="E14" s="22"/>
      <c r="F14" s="24">
        <f>IF(F$8=$C14,$D14,0)</f>
        <v>0</v>
      </c>
      <c r="G14" s="24">
        <f>IF(G$8=$C14,$D14,0)</f>
        <v>0</v>
      </c>
      <c r="H14" s="24">
        <f>IF(H$8=$C14,$D14,0)</f>
        <v>0</v>
      </c>
      <c r="I14" s="24">
        <f>IF(I$8=$C14,$D14,0)</f>
        <v>0</v>
      </c>
      <c r="J14" s="24">
        <f>IF(J$8=$C14,$D14,0)</f>
        <v>0</v>
      </c>
      <c r="K14" s="24">
        <f>IF(K$8=$C14,$D14,0)</f>
        <v>0</v>
      </c>
      <c r="L14" s="24">
        <f>IF(L$8=$C14,$D14,0)</f>
        <v>0</v>
      </c>
      <c r="M14" s="24">
        <f>IF(M$8=$C14,$D14,0)</f>
        <v>0</v>
      </c>
    </row>
    <row r="15" ht="14.25" customHeight="1">
      <c r="A15" s="22"/>
      <c r="B15" s="22"/>
      <c r="C15" s="22"/>
      <c r="D15" s="23"/>
      <c r="E15" s="22"/>
      <c r="F15" s="24">
        <f>IF(F$8=$C15,$D15,0)</f>
        <v>0</v>
      </c>
      <c r="G15" s="24">
        <f>IF(G$8=$C15,$D15,0)</f>
        <v>0</v>
      </c>
      <c r="H15" s="24">
        <f>IF(H$8=$C15,$D15,0)</f>
        <v>0</v>
      </c>
      <c r="I15" s="24">
        <f>IF(I$8=$C15,$D15,0)</f>
        <v>0</v>
      </c>
      <c r="J15" s="24">
        <f>IF(J$8=$C15,$D15,0)</f>
        <v>0</v>
      </c>
      <c r="K15" s="24">
        <f>IF(K$8=$C15,$D15,0)</f>
        <v>0</v>
      </c>
      <c r="L15" s="24">
        <f>IF(L$8=$C15,$D15,0)</f>
        <v>0</v>
      </c>
      <c r="M15" s="24">
        <f>IF(M$8=$C15,$D15,0)</f>
        <v>0</v>
      </c>
    </row>
    <row r="16" ht="14.25" customHeight="1">
      <c r="A16" s="22"/>
      <c r="B16" s="22"/>
      <c r="C16" s="22"/>
      <c r="D16" s="23"/>
      <c r="E16" s="22"/>
      <c r="F16" s="24">
        <f>IF(F$8=$C16,$D16,0)</f>
        <v>0</v>
      </c>
      <c r="G16" s="24">
        <f>IF(G$8=$C16,$D16,0)</f>
        <v>0</v>
      </c>
      <c r="H16" s="24">
        <f>IF(H$8=$C16,$D16,0)</f>
        <v>0</v>
      </c>
      <c r="I16" s="24">
        <f>IF(I$8=$C16,$D16,0)</f>
        <v>0</v>
      </c>
      <c r="J16" s="24">
        <f>IF(J$8=$C16,$D16,0)</f>
        <v>0</v>
      </c>
      <c r="K16" s="24">
        <f>IF(K$8=$C16,$D16,0)</f>
        <v>0</v>
      </c>
      <c r="L16" s="24">
        <f>IF(L$8=$C16,$D16,0)</f>
        <v>0</v>
      </c>
      <c r="M16" s="24">
        <f>IF(M$8=$C16,$D16,0)</f>
        <v>0</v>
      </c>
    </row>
    <row r="17" ht="14.25" customHeight="1">
      <c r="A17" s="22"/>
      <c r="B17" s="22"/>
      <c r="C17" s="22"/>
      <c r="D17" s="23"/>
      <c r="E17" s="22"/>
      <c r="F17" s="24">
        <f>IF(F$8=$C17,$D17,0)</f>
        <v>0</v>
      </c>
      <c r="G17" s="24">
        <f>IF(G$8=$C17,$D17,0)</f>
        <v>0</v>
      </c>
      <c r="H17" s="24">
        <f>IF(H$8=$C17,$D17,0)</f>
        <v>0</v>
      </c>
      <c r="I17" s="24">
        <f>IF(I$8=$C17,$D17,0)</f>
        <v>0</v>
      </c>
      <c r="J17" s="24">
        <f>IF(J$8=$C17,$D17,0)</f>
        <v>0</v>
      </c>
      <c r="K17" s="24">
        <f>IF(K$8=$C17,$D17,0)</f>
        <v>0</v>
      </c>
      <c r="L17" s="24">
        <f>IF(L$8=$C17,$D17,0)</f>
        <v>0</v>
      </c>
      <c r="M17" s="24">
        <f>IF(M$8=$C17,$D17,0)</f>
        <v>0</v>
      </c>
    </row>
    <row r="18" ht="14.25" customHeight="1">
      <c r="A18" s="22"/>
      <c r="B18" s="22"/>
      <c r="C18" s="22"/>
      <c r="D18" s="23"/>
      <c r="E18" s="22"/>
      <c r="F18" s="24">
        <f>IF(F$8=$C18,$D18,0)</f>
        <v>0</v>
      </c>
      <c r="G18" s="24">
        <f>IF(G$8=$C18,$D18,0)</f>
        <v>0</v>
      </c>
      <c r="H18" s="24">
        <f>IF(H$8=$C18,$D18,0)</f>
        <v>0</v>
      </c>
      <c r="I18" s="24">
        <f>IF(I$8=$C18,$D18,0)</f>
        <v>0</v>
      </c>
      <c r="J18" s="24">
        <f>IF(J$8=$C18,$D18,0)</f>
        <v>0</v>
      </c>
      <c r="K18" s="24">
        <f>IF(K$8=$C18,$D18,0)</f>
        <v>0</v>
      </c>
      <c r="L18" s="24">
        <f>IF(L$8=$C18,$D18,0)</f>
        <v>0</v>
      </c>
      <c r="M18" s="24">
        <f>IF(M$8=$C18,$D18,0)</f>
        <v>0</v>
      </c>
    </row>
    <row r="19" ht="14.25" customHeight="1">
      <c r="A19" s="22"/>
      <c r="B19" s="22"/>
      <c r="C19" s="22"/>
      <c r="D19" s="23"/>
      <c r="E19" s="22"/>
      <c r="F19" s="24">
        <f>IF(F$8=$C19,$D19,0)</f>
        <v>0</v>
      </c>
      <c r="G19" s="24">
        <f>IF(G$8=$C19,$D19,0)</f>
        <v>0</v>
      </c>
      <c r="H19" s="24">
        <f>IF(H$8=$C19,$D19,0)</f>
        <v>0</v>
      </c>
      <c r="I19" s="24">
        <f>IF(I$8=$C19,$D19,0)</f>
        <v>0</v>
      </c>
      <c r="J19" s="24">
        <f>IF(J$8=$C19,$D19,0)</f>
        <v>0</v>
      </c>
      <c r="K19" s="24">
        <f>IF(K$8=$C19,$D19,0)</f>
        <v>0</v>
      </c>
      <c r="L19" s="24">
        <f>IF(L$8=$C19,$D19,0)</f>
        <v>0</v>
      </c>
      <c r="M19" s="24">
        <f>IF(M$8=$C19,$D19,0)</f>
        <v>0</v>
      </c>
    </row>
    <row r="20" ht="14.25" customHeight="1">
      <c r="A20" s="22"/>
      <c r="B20" s="22"/>
      <c r="C20" s="22"/>
      <c r="D20" s="23"/>
      <c r="E20" s="22"/>
      <c r="F20" s="24">
        <f>IF(F$8=$C20,$D20,0)</f>
        <v>0</v>
      </c>
      <c r="G20" s="24">
        <f>IF(G$8=$C20,$D20,0)</f>
        <v>0</v>
      </c>
      <c r="H20" s="24">
        <f>IF(H$8=$C20,$D20,0)</f>
        <v>0</v>
      </c>
      <c r="I20" s="24">
        <f>IF(I$8=$C20,$D20,0)</f>
        <v>0</v>
      </c>
      <c r="J20" s="24">
        <f>IF(J$8=$C20,$D20,0)</f>
        <v>0</v>
      </c>
      <c r="K20" s="24">
        <f>IF(K$8=$C20,$D20,0)</f>
        <v>0</v>
      </c>
      <c r="L20" s="24">
        <f>IF(L$8=$C20,$D20,0)</f>
        <v>0</v>
      </c>
      <c r="M20" s="24">
        <f>IF(M$8=$C20,$D20,0)</f>
        <v>0</v>
      </c>
    </row>
    <row r="21" ht="14.25" customHeight="1">
      <c r="A21" s="22"/>
      <c r="B21" s="22"/>
      <c r="C21" s="22"/>
      <c r="D21" s="23"/>
      <c r="E21" s="22"/>
      <c r="F21" s="24">
        <f>IF(F$8=$C21,$D21,0)</f>
        <v>0</v>
      </c>
      <c r="G21" s="24">
        <f>IF(G$8=$C21,$D21,0)</f>
        <v>0</v>
      </c>
      <c r="H21" s="24">
        <f>IF(H$8=$C21,$D21,0)</f>
        <v>0</v>
      </c>
      <c r="I21" s="24">
        <f>IF(I$8=$C21,$D21,0)</f>
        <v>0</v>
      </c>
      <c r="J21" s="24">
        <f>IF(J$8=$C21,$D21,0)</f>
        <v>0</v>
      </c>
      <c r="K21" s="24">
        <f>IF(K$8=$C21,$D21,0)</f>
        <v>0</v>
      </c>
      <c r="L21" s="24">
        <f>IF(L$8=$C21,$D21,0)</f>
        <v>0</v>
      </c>
      <c r="M21" s="24">
        <f>IF(M$8=$C21,$D21,0)</f>
        <v>0</v>
      </c>
    </row>
    <row r="22" ht="14.25" customHeight="1">
      <c r="A22" s="22"/>
      <c r="B22" s="22"/>
      <c r="C22" s="22"/>
      <c r="D22" s="23"/>
      <c r="E22" s="22"/>
      <c r="F22" s="24">
        <f>IF(F$8=$C22,$D22,0)</f>
        <v>0</v>
      </c>
      <c r="G22" s="24">
        <f>IF(G$8=$C22,$D22,0)</f>
        <v>0</v>
      </c>
      <c r="H22" s="24">
        <f>IF(H$8=$C22,$D22,0)</f>
        <v>0</v>
      </c>
      <c r="I22" s="24">
        <f>IF(I$8=$C22,$D22,0)</f>
        <v>0</v>
      </c>
      <c r="J22" s="24">
        <f>IF(J$8=$C22,$D22,0)</f>
        <v>0</v>
      </c>
      <c r="K22" s="24">
        <f>IF(K$8=$C22,$D22,0)</f>
        <v>0</v>
      </c>
      <c r="L22" s="24">
        <f>IF(L$8=$C22,$D22,0)</f>
        <v>0</v>
      </c>
      <c r="M22" s="24">
        <f>IF(M$8=$C22,$D22,0)</f>
        <v>0</v>
      </c>
    </row>
    <row r="23" ht="14.25" customHeight="1">
      <c r="A23" s="22"/>
      <c r="B23" s="22"/>
      <c r="C23" s="22"/>
      <c r="D23" s="23"/>
      <c r="E23" s="22"/>
      <c r="F23" s="24">
        <f>IF(F$8=$C23,$D23,0)</f>
        <v>0</v>
      </c>
      <c r="G23" s="24">
        <f>IF(G$8=$C23,$D23,0)</f>
        <v>0</v>
      </c>
      <c r="H23" s="24">
        <f>IF(H$8=$C23,$D23,0)</f>
        <v>0</v>
      </c>
      <c r="I23" s="24">
        <f>IF(I$8=$C23,$D23,0)</f>
        <v>0</v>
      </c>
      <c r="J23" s="24">
        <f>IF(J$8=$C23,$D23,0)</f>
        <v>0</v>
      </c>
      <c r="K23" s="24">
        <f>IF(K$8=$C23,$D23,0)</f>
        <v>0</v>
      </c>
      <c r="L23" s="24">
        <f>IF(L$8=$C23,$D23,0)</f>
        <v>0</v>
      </c>
      <c r="M23" s="24">
        <f>IF(M$8=$C23,$D23,0)</f>
        <v>0</v>
      </c>
    </row>
    <row r="24" ht="14.25" customHeight="1">
      <c r="A24" s="22"/>
      <c r="B24" s="22"/>
      <c r="C24" s="22"/>
      <c r="D24" s="23"/>
      <c r="E24" s="22"/>
      <c r="F24" s="24">
        <f>IF(F$8=$C24,$D24,0)</f>
        <v>0</v>
      </c>
      <c r="G24" s="24">
        <f>IF(G$8=$C24,$D24,0)</f>
        <v>0</v>
      </c>
      <c r="H24" s="24">
        <f>IF(H$8=$C24,$D24,0)</f>
        <v>0</v>
      </c>
      <c r="I24" s="24">
        <f>IF(I$8=$C24,$D24,0)</f>
        <v>0</v>
      </c>
      <c r="J24" s="24">
        <f>IF(J$8=$C24,$D24,0)</f>
        <v>0</v>
      </c>
      <c r="K24" s="24">
        <f>IF(K$8=$C24,$D24,0)</f>
        <v>0</v>
      </c>
      <c r="L24" s="24">
        <f>IF(L$8=$C24,$D24,0)</f>
        <v>0</v>
      </c>
      <c r="M24" s="24">
        <f>IF(M$8=$C24,$D24,0)</f>
        <v>0</v>
      </c>
    </row>
    <row r="25" ht="14.25" customHeight="1">
      <c r="A25" s="22"/>
      <c r="B25" s="22"/>
      <c r="C25" s="22"/>
      <c r="D25" s="23"/>
      <c r="E25" s="22"/>
      <c r="F25" s="24">
        <f>IF(F$8=$C25,$D25,0)</f>
        <v>0</v>
      </c>
      <c r="G25" s="24">
        <f>IF(G$8=$C25,$D25,0)</f>
        <v>0</v>
      </c>
      <c r="H25" s="24">
        <f>IF(H$8=$C25,$D25,0)</f>
        <v>0</v>
      </c>
      <c r="I25" s="24">
        <f>IF(I$8=$C25,$D25,0)</f>
        <v>0</v>
      </c>
      <c r="J25" s="24">
        <f>IF(J$8=$C25,$D25,0)</f>
        <v>0</v>
      </c>
      <c r="K25" s="24">
        <f>IF(K$8=$C25,$D25,0)</f>
        <v>0</v>
      </c>
      <c r="L25" s="24">
        <f>IF(L$8=$C25,$D25,0)</f>
        <v>0</v>
      </c>
      <c r="M25" s="24">
        <f>IF(M$8=$C25,$D25,0)</f>
        <v>0</v>
      </c>
    </row>
    <row r="26" ht="14.25" customHeight="1">
      <c r="A26" s="22"/>
      <c r="B26" s="22"/>
      <c r="C26" s="22"/>
      <c r="D26" s="23"/>
      <c r="E26" s="22"/>
      <c r="F26" s="24">
        <f>IF(F$8=$C26,$D26,0)</f>
        <v>0</v>
      </c>
      <c r="G26" s="24">
        <f>IF(G$8=$C26,$D26,0)</f>
        <v>0</v>
      </c>
      <c r="H26" s="24">
        <f>IF(H$8=$C26,$D26,0)</f>
        <v>0</v>
      </c>
      <c r="I26" s="24">
        <f>IF(I$8=$C26,$D26,0)</f>
        <v>0</v>
      </c>
      <c r="J26" s="24">
        <f>IF(J$8=$C26,$D26,0)</f>
        <v>0</v>
      </c>
      <c r="K26" s="24">
        <f>IF(K$8=$C26,$D26,0)</f>
        <v>0</v>
      </c>
      <c r="L26" s="24">
        <f>IF(L$8=$C26,$D26,0)</f>
        <v>0</v>
      </c>
      <c r="M26" s="24">
        <f>IF(M$8=$C26,$D26,0)</f>
        <v>0</v>
      </c>
    </row>
    <row r="27" ht="14.25" customHeight="1">
      <c r="A27" s="22"/>
      <c r="B27" s="22"/>
      <c r="C27" s="22"/>
      <c r="D27" s="23"/>
      <c r="E27" s="22"/>
      <c r="F27" s="24">
        <f>IF(F$8=$C27,$D27,0)</f>
        <v>0</v>
      </c>
      <c r="G27" s="24">
        <f>IF(G$8=$C27,$D27,0)</f>
        <v>0</v>
      </c>
      <c r="H27" s="24">
        <f>IF(H$8=$C27,$D27,0)</f>
        <v>0</v>
      </c>
      <c r="I27" s="24">
        <f>IF(I$8=$C27,$D27,0)</f>
        <v>0</v>
      </c>
      <c r="J27" s="24">
        <f>IF(J$8=$C27,$D27,0)</f>
        <v>0</v>
      </c>
      <c r="K27" s="24">
        <f>IF(K$8=$C27,$D27,0)</f>
        <v>0</v>
      </c>
      <c r="L27" s="24">
        <f>IF(L$8=$C27,$D27,0)</f>
        <v>0</v>
      </c>
      <c r="M27" s="24">
        <f>IF(M$8=$C27,$D27,0)</f>
        <v>0</v>
      </c>
    </row>
    <row r="28" ht="14.25" customHeight="1">
      <c r="A28" s="22"/>
      <c r="B28" s="22"/>
      <c r="C28" s="22"/>
      <c r="D28" s="23"/>
      <c r="E28" s="22"/>
      <c r="F28" s="24">
        <f>IF(F$8=$C28,$D28,0)</f>
        <v>0</v>
      </c>
      <c r="G28" s="24">
        <f>IF(G$8=$C28,$D28,0)</f>
        <v>0</v>
      </c>
      <c r="H28" s="24">
        <f>IF(H$8=$C28,$D28,0)</f>
        <v>0</v>
      </c>
      <c r="I28" s="24">
        <f>IF(I$8=$C28,$D28,0)</f>
        <v>0</v>
      </c>
      <c r="J28" s="24">
        <f>IF(J$8=$C28,$D28,0)</f>
        <v>0</v>
      </c>
      <c r="K28" s="24">
        <f>IF(K$8=$C28,$D28,0)</f>
        <v>0</v>
      </c>
      <c r="L28" s="24">
        <f>IF(L$8=$C28,$D28,0)</f>
        <v>0</v>
      </c>
      <c r="M28" s="24">
        <f>IF(M$8=$C28,$D28,0)</f>
        <v>0</v>
      </c>
    </row>
    <row r="29" ht="14.25" customHeight="1">
      <c r="A29" s="22"/>
      <c r="B29" s="22"/>
      <c r="C29" s="22"/>
      <c r="D29" s="23"/>
      <c r="E29" s="22"/>
      <c r="F29" s="24">
        <f>IF(F$8=$C29,$D29,0)</f>
        <v>0</v>
      </c>
      <c r="G29" s="24">
        <f>IF(G$8=$C29,$D29,0)</f>
        <v>0</v>
      </c>
      <c r="H29" s="24">
        <f>IF(H$8=$C29,$D29,0)</f>
        <v>0</v>
      </c>
      <c r="I29" s="24">
        <f>IF(I$8=$C29,$D29,0)</f>
        <v>0</v>
      </c>
      <c r="J29" s="24">
        <f>IF(J$8=$C29,$D29,0)</f>
        <v>0</v>
      </c>
      <c r="K29" s="24">
        <f>IF(K$8=$C29,$D29,0)</f>
        <v>0</v>
      </c>
      <c r="L29" s="24">
        <f>IF(L$8=$C29,$D29,0)</f>
        <v>0</v>
      </c>
      <c r="M29" s="24">
        <f>IF(M$8=$C29,$D29,0)</f>
        <v>0</v>
      </c>
    </row>
    <row r="30" ht="14.25" customHeight="1">
      <c r="A30" s="22"/>
      <c r="B30" s="22"/>
      <c r="C30" s="22"/>
      <c r="D30" s="23"/>
      <c r="E30" s="22"/>
      <c r="F30" s="24">
        <f>IF(F$8=$C30,$D30,0)</f>
        <v>0</v>
      </c>
      <c r="G30" s="24">
        <f>IF(G$8=$C30,$D30,0)</f>
        <v>0</v>
      </c>
      <c r="H30" s="24">
        <f>IF(H$8=$C30,$D30,0)</f>
        <v>0</v>
      </c>
      <c r="I30" s="24">
        <f>IF(I$8=$C30,$D30,0)</f>
        <v>0</v>
      </c>
      <c r="J30" s="24">
        <f>IF(J$8=$C30,$D30,0)</f>
        <v>0</v>
      </c>
      <c r="K30" s="24">
        <f>IF(K$8=$C30,$D30,0)</f>
        <v>0</v>
      </c>
      <c r="L30" s="24">
        <f>IF(L$8=$C30,$D30,0)</f>
        <v>0</v>
      </c>
      <c r="M30" s="24">
        <f>IF(M$8=$C30,$D30,0)</f>
        <v>0</v>
      </c>
    </row>
    <row r="31" ht="14.25" customHeight="1">
      <c r="A31" s="22"/>
      <c r="B31" s="22"/>
      <c r="C31" s="22"/>
      <c r="D31" s="23"/>
      <c r="E31" s="22"/>
      <c r="F31" s="24">
        <f>IF(F$8=$C31,$D31,0)</f>
        <v>0</v>
      </c>
      <c r="G31" s="24">
        <f>IF(G$8=$C31,$D31,0)</f>
        <v>0</v>
      </c>
      <c r="H31" s="24">
        <f>IF(H$8=$C31,$D31,0)</f>
        <v>0</v>
      </c>
      <c r="I31" s="24">
        <f>IF(I$8=$C31,$D31,0)</f>
        <v>0</v>
      </c>
      <c r="J31" s="24">
        <f>IF(J$8=$C31,$D31,0)</f>
        <v>0</v>
      </c>
      <c r="K31" s="24">
        <f>IF(K$8=$C31,$D31,0)</f>
        <v>0</v>
      </c>
      <c r="L31" s="24">
        <f>IF(L$8=$C31,$D31,0)</f>
        <v>0</v>
      </c>
      <c r="M31" s="24">
        <f>IF(M$8=$C31,$D31,0)</f>
        <v>0</v>
      </c>
    </row>
    <row r="32" ht="14.25" customHeight="1">
      <c r="A32" s="22"/>
      <c r="B32" s="22"/>
      <c r="C32" s="22"/>
      <c r="D32" s="23"/>
      <c r="E32" s="22"/>
      <c r="F32" s="24">
        <f>IF(F$8=$C32,$D32,0)</f>
        <v>0</v>
      </c>
      <c r="G32" s="24">
        <f>IF(G$8=$C32,$D32,0)</f>
        <v>0</v>
      </c>
      <c r="H32" s="24">
        <f>IF(H$8=$C32,$D32,0)</f>
        <v>0</v>
      </c>
      <c r="I32" s="24">
        <f>IF(I$8=$C32,$D32,0)</f>
        <v>0</v>
      </c>
      <c r="J32" s="24">
        <f>IF(J$8=$C32,$D32,0)</f>
        <v>0</v>
      </c>
      <c r="K32" s="24">
        <f>IF(K$8=$C32,$D32,0)</f>
        <v>0</v>
      </c>
      <c r="L32" s="24">
        <f>IF(L$8=$C32,$D32,0)</f>
        <v>0</v>
      </c>
      <c r="M32" s="24">
        <f>IF(M$8=$C32,$D32,0)</f>
        <v>0</v>
      </c>
    </row>
    <row r="33" ht="14.25" customHeight="1">
      <c r="A33" s="22"/>
      <c r="B33" s="22"/>
      <c r="C33" s="22"/>
      <c r="D33" s="23"/>
      <c r="E33" s="22"/>
      <c r="F33" s="24">
        <f>IF(F$8=$C33,$D33,0)</f>
        <v>0</v>
      </c>
      <c r="G33" s="24">
        <f>IF(G$8=$C33,$D33,0)</f>
        <v>0</v>
      </c>
      <c r="H33" s="24">
        <f>IF(H$8=$C33,$D33,0)</f>
        <v>0</v>
      </c>
      <c r="I33" s="24">
        <f>IF(I$8=$C33,$D33,0)</f>
        <v>0</v>
      </c>
      <c r="J33" s="24">
        <f>IF(J$8=$C33,$D33,0)</f>
        <v>0</v>
      </c>
      <c r="K33" s="24">
        <f>IF(K$8=$C33,$D33,0)</f>
        <v>0</v>
      </c>
      <c r="L33" s="24">
        <f>IF(L$8=$C33,$D33,0)</f>
        <v>0</v>
      </c>
      <c r="M33" s="24">
        <f>IF(M$8=$C33,$D33,0)</f>
        <v>0</v>
      </c>
    </row>
    <row r="34" ht="14.25" customHeight="1">
      <c r="A34" s="22"/>
      <c r="B34" s="22"/>
      <c r="C34" s="22"/>
      <c r="D34" s="23"/>
      <c r="E34" s="22"/>
      <c r="F34" s="24">
        <f>IF(F$8=$C34,$D34,0)</f>
        <v>0</v>
      </c>
      <c r="G34" s="24">
        <f>IF(G$8=$C34,$D34,0)</f>
        <v>0</v>
      </c>
      <c r="H34" s="24">
        <f>IF(H$8=$C34,$D34,0)</f>
        <v>0</v>
      </c>
      <c r="I34" s="24">
        <f>IF(I$8=$C34,$D34,0)</f>
        <v>0</v>
      </c>
      <c r="J34" s="24">
        <f>IF(J$8=$C34,$D34,0)</f>
        <v>0</v>
      </c>
      <c r="K34" s="24">
        <f>IF(K$8=$C34,$D34,0)</f>
        <v>0</v>
      </c>
      <c r="L34" s="24">
        <f>IF(L$8=$C34,$D34,0)</f>
        <v>0</v>
      </c>
      <c r="M34" s="24">
        <f>IF(M$8=$C34,$D34,0)</f>
        <v>0</v>
      </c>
    </row>
    <row r="35" ht="14.25" customHeight="1">
      <c r="A35" s="22"/>
      <c r="B35" s="22"/>
      <c r="C35" s="22"/>
      <c r="D35" s="23"/>
      <c r="E35" s="22"/>
      <c r="F35" s="24">
        <f>IF(F$8=$C35,$D35,0)</f>
        <v>0</v>
      </c>
      <c r="G35" s="24">
        <f>IF(G$8=$C35,$D35,0)</f>
        <v>0</v>
      </c>
      <c r="H35" s="24">
        <f>IF(H$8=$C35,$D35,0)</f>
        <v>0</v>
      </c>
      <c r="I35" s="24">
        <f>IF(I$8=$C35,$D35,0)</f>
        <v>0</v>
      </c>
      <c r="J35" s="24">
        <f>IF(J$8=$C35,$D35,0)</f>
        <v>0</v>
      </c>
      <c r="K35" s="24">
        <f>IF(K$8=$C35,$D35,0)</f>
        <v>0</v>
      </c>
      <c r="L35" s="24">
        <f>IF(L$8=$C35,$D35,0)</f>
        <v>0</v>
      </c>
      <c r="M35" s="24">
        <f>IF(M$8=$C35,$D35,0)</f>
        <v>0</v>
      </c>
    </row>
    <row r="36" ht="14.25" customHeight="1">
      <c r="A36" s="22"/>
      <c r="B36" s="22"/>
      <c r="C36" s="22"/>
      <c r="D36" s="23"/>
      <c r="E36" s="22"/>
      <c r="F36" s="24">
        <f>IF(F$8=$C36,$D36,0)</f>
        <v>0</v>
      </c>
      <c r="G36" s="24">
        <f>IF(G$8=$C36,$D36,0)</f>
        <v>0</v>
      </c>
      <c r="H36" s="24">
        <f>IF(H$8=$C36,$D36,0)</f>
        <v>0</v>
      </c>
      <c r="I36" s="24">
        <f>IF(I$8=$C36,$D36,0)</f>
        <v>0</v>
      </c>
      <c r="J36" s="24">
        <f>IF(J$8=$C36,$D36,0)</f>
        <v>0</v>
      </c>
      <c r="K36" s="24">
        <f>IF(K$8=$C36,$D36,0)</f>
        <v>0</v>
      </c>
      <c r="L36" s="24">
        <f>IF(L$8=$C36,$D36,0)</f>
        <v>0</v>
      </c>
      <c r="M36" s="24">
        <f>IF(M$8=$C36,$D36,0)</f>
        <v>0</v>
      </c>
    </row>
    <row r="37" ht="14.25" customHeight="1">
      <c r="A37" s="22"/>
      <c r="B37" s="22"/>
      <c r="C37" s="22"/>
      <c r="D37" s="23"/>
      <c r="E37" s="22"/>
      <c r="F37" s="24">
        <f>IF(F$8=$C37,$D37,0)</f>
        <v>0</v>
      </c>
      <c r="G37" s="24">
        <f>IF(G$8=$C37,$D37,0)</f>
        <v>0</v>
      </c>
      <c r="H37" s="24">
        <f>IF(H$8=$C37,$D37,0)</f>
        <v>0</v>
      </c>
      <c r="I37" s="24">
        <f>IF(I$8=$C37,$D37,0)</f>
        <v>0</v>
      </c>
      <c r="J37" s="24">
        <f>IF(J$8=$C37,$D37,0)</f>
        <v>0</v>
      </c>
      <c r="K37" s="24">
        <f>IF(K$8=$C37,$D37,0)</f>
        <v>0</v>
      </c>
      <c r="L37" s="24">
        <f>IF(L$8=$C37,$D37,0)</f>
        <v>0</v>
      </c>
      <c r="M37" s="24">
        <f>IF(M$8=$C37,$D37,0)</f>
        <v>0</v>
      </c>
    </row>
    <row r="38" ht="14.25" customHeight="1">
      <c r="A38" s="25"/>
      <c r="B38" s="25"/>
      <c r="C38" s="25"/>
      <c r="D38" s="26"/>
      <c r="E38" s="25"/>
      <c r="F38" s="27"/>
      <c r="G38" s="27"/>
      <c r="H38" s="27"/>
      <c r="I38" s="27"/>
      <c r="J38" s="27"/>
      <c r="K38" s="27"/>
      <c r="L38" s="27"/>
      <c r="M38" s="27"/>
    </row>
    <row r="39" ht="15" customHeight="1">
      <c r="A39" s="28"/>
      <c r="B39" s="28"/>
      <c r="C39" s="29"/>
      <c r="D39" s="30">
        <f>SUM(D9:D38)</f>
        <v>0</v>
      </c>
      <c r="E39" s="19"/>
      <c r="F39" s="31">
        <f>SUM(F9:F38)</f>
        <v>0</v>
      </c>
      <c r="G39" s="31">
        <f>SUM(G9:G38)</f>
        <v>0</v>
      </c>
      <c r="H39" s="31">
        <f>SUM(H9:H38)</f>
        <v>0</v>
      </c>
      <c r="I39" s="31">
        <f>SUM(I9:I38)</f>
        <v>0</v>
      </c>
      <c r="J39" s="31">
        <f>SUM(J9:J38)</f>
        <v>0</v>
      </c>
      <c r="K39" s="31">
        <f>SUM(K9:K38)</f>
        <v>0</v>
      </c>
      <c r="L39" s="31">
        <f>SUM(L9:L38)</f>
        <v>0</v>
      </c>
      <c r="M39" s="31">
        <f>SUM(M9:M38)</f>
        <v>0</v>
      </c>
    </row>
    <row r="40" ht="15" customHeight="1">
      <c r="A40" s="3"/>
      <c r="B40" s="3"/>
      <c r="C40" s="3"/>
      <c r="D40" s="28"/>
      <c r="E40" s="3"/>
      <c r="F40" s="28"/>
      <c r="G40" s="28"/>
      <c r="H40" s="28"/>
      <c r="I40" s="28"/>
      <c r="J40" s="28"/>
      <c r="K40" s="28"/>
      <c r="L40" s="28"/>
      <c r="M40" s="28"/>
    </row>
    <row r="41" ht="14.25" customHeight="1">
      <c r="A41" t="s" s="8">
        <v>14</v>
      </c>
      <c r="B41" t="s" s="32">
        <v>15</v>
      </c>
      <c r="C41" s="3"/>
      <c r="D41" s="5"/>
      <c r="E41" s="3"/>
      <c r="F41" s="3"/>
      <c r="G41" s="3"/>
      <c r="H41" s="3"/>
      <c r="I41" s="3"/>
      <c r="J41" s="3"/>
      <c r="K41" s="3"/>
      <c r="L41" s="3"/>
      <c r="M41" s="3"/>
    </row>
    <row r="42" ht="14.25" customHeight="1">
      <c r="A42" s="3"/>
      <c r="B42" t="s" s="32">
        <v>16</v>
      </c>
      <c r="C42" s="33"/>
      <c r="D42" s="5"/>
      <c r="E42" s="3"/>
      <c r="F42" s="3"/>
      <c r="G42" s="3"/>
      <c r="H42" s="3"/>
      <c r="I42" s="3"/>
      <c r="J42" s="3"/>
      <c r="K42" s="3"/>
      <c r="L42" s="3"/>
      <c r="M42" s="3"/>
    </row>
    <row r="43" ht="43.5" customHeight="1">
      <c r="A43" t="s" s="8">
        <v>17</v>
      </c>
      <c r="B43" s="9"/>
      <c r="C43" s="33"/>
      <c r="D43" s="5"/>
      <c r="E43" s="3"/>
      <c r="F43" s="3"/>
      <c r="G43" s="3"/>
      <c r="H43" s="3"/>
      <c r="I43" s="3"/>
      <c r="J43" s="3"/>
      <c r="K43" s="3"/>
      <c r="L43" s="3"/>
      <c r="M43" s="3"/>
    </row>
    <row r="44" ht="43.5" customHeight="1">
      <c r="A44" t="s" s="8">
        <v>18</v>
      </c>
      <c r="B44" s="11"/>
      <c r="C44" s="33"/>
      <c r="D44" t="s" s="8">
        <v>19</v>
      </c>
      <c r="E44" s="3"/>
      <c r="F44" s="3"/>
      <c r="G44" s="9"/>
      <c r="H44" s="9"/>
      <c r="I44" s="9"/>
      <c r="J44" s="9"/>
      <c r="K44" s="9"/>
      <c r="L44" s="3"/>
      <c r="M44" s="3"/>
    </row>
    <row r="45" ht="43.5" customHeight="1">
      <c r="A45" s="3"/>
      <c r="B45" s="28"/>
      <c r="C45" s="33"/>
      <c r="D45" t="s" s="8">
        <v>18</v>
      </c>
      <c r="E45" s="3"/>
      <c r="F45" s="3"/>
      <c r="G45" s="11"/>
      <c r="H45" s="11"/>
      <c r="I45" s="11"/>
      <c r="J45" s="11"/>
      <c r="K45" s="11"/>
      <c r="L45" s="3"/>
      <c r="M45" s="3"/>
    </row>
    <row r="46" ht="43.5" customHeight="1">
      <c r="A46" t="s" s="34">
        <v>20</v>
      </c>
      <c r="B46" s="9"/>
      <c r="C46" s="33"/>
      <c r="D46" s="5"/>
      <c r="E46" s="3"/>
      <c r="F46" s="3"/>
      <c r="G46" s="28"/>
      <c r="H46" s="28"/>
      <c r="I46" s="28"/>
      <c r="J46" s="28"/>
      <c r="K46" s="28"/>
      <c r="L46" s="3"/>
      <c r="M46" s="3"/>
    </row>
    <row r="47" ht="43.5" customHeight="1">
      <c r="A47" t="s" s="34">
        <v>21</v>
      </c>
      <c r="B47" s="11"/>
      <c r="C47" s="33"/>
      <c r="D47" s="5"/>
      <c r="E47" s="3"/>
      <c r="F47" s="3"/>
      <c r="G47" s="3"/>
      <c r="H47" s="3"/>
      <c r="I47" s="3"/>
      <c r="J47" s="3"/>
      <c r="K47" s="3"/>
      <c r="L47" s="3"/>
      <c r="M47" s="3"/>
    </row>
    <row r="48" ht="43.5" customHeight="1">
      <c r="A48" t="s" s="8">
        <v>18</v>
      </c>
      <c r="B48" s="11"/>
      <c r="C48" s="33"/>
      <c r="D48" s="5"/>
      <c r="E48" s="3"/>
      <c r="F48" s="3"/>
      <c r="G48" s="3"/>
      <c r="H48" s="3"/>
      <c r="I48" s="3"/>
      <c r="J48" s="3"/>
      <c r="K48" s="3"/>
      <c r="L48" s="3"/>
      <c r="M48" s="3"/>
    </row>
    <row r="49" ht="14.25" customHeight="1">
      <c r="A49" s="3"/>
      <c r="B49" s="28"/>
      <c r="C49" s="33"/>
      <c r="D49" s="5"/>
      <c r="E49" s="3"/>
      <c r="F49" s="3"/>
      <c r="G49" s="3"/>
      <c r="H49" s="3"/>
      <c r="I49" s="3"/>
      <c r="J49" s="3"/>
      <c r="K49" s="3"/>
      <c r="L49" s="3"/>
      <c r="M49" s="3"/>
    </row>
  </sheetData>
  <mergeCells count="2">
    <mergeCell ref="A1:M1"/>
    <mergeCell ref="A3:M3"/>
  </mergeCells>
  <dataValidations count="1">
    <dataValidation type="list" allowBlank="1" showInputMessage="1" showErrorMessage="1" sqref="C9:C38">
      <formula1>"餐食,交通,娱乐,医疗费,通讯费,电子相关,其它费用"</formula1>
    </dataValidation>
  </dataValidations>
  <pageMargins left="0.520139" right="0.390278" top="0.479861" bottom="0.420139" header="0.511806" footer="0.511806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N224"/>
  <sheetViews>
    <sheetView workbookViewId="0" showGridLines="0" defaultGridColor="1"/>
  </sheetViews>
  <sheetFormatPr defaultColWidth="9" defaultRowHeight="12.75" customHeight="1" outlineLevelRow="0" outlineLevelCol="0"/>
  <cols>
    <col min="1" max="1" width="13.8516" style="35" customWidth="1"/>
    <col min="2" max="2" width="26.3516" style="35" customWidth="1"/>
    <col min="3" max="3" width="22" style="35" customWidth="1"/>
    <col min="4" max="5" width="10.3516" style="35" customWidth="1"/>
    <col min="6" max="6" width="1.35156" style="35" customWidth="1"/>
    <col min="7" max="12" width="12.6719" style="35" customWidth="1"/>
    <col min="13" max="13" width="9.35156" style="35" customWidth="1"/>
    <col min="14" max="14" width="1.5" style="35" customWidth="1"/>
    <col min="15" max="16384" width="9" style="35" customWidth="1"/>
  </cols>
  <sheetData>
    <row r="1" ht="20.2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15" customHeight="1">
      <c r="A2" s="3"/>
      <c r="B2" s="3"/>
      <c r="C2" s="4"/>
      <c r="D2" s="4"/>
      <c r="E2" s="5"/>
      <c r="F2" s="3"/>
      <c r="G2" s="3"/>
      <c r="H2" s="3"/>
      <c r="I2" s="3"/>
      <c r="J2" s="3"/>
      <c r="K2" s="3"/>
      <c r="L2" s="3"/>
      <c r="M2" s="3"/>
      <c r="N2" s="3"/>
    </row>
    <row r="3" ht="18.75" customHeight="1">
      <c r="A3" t="s" s="6">
        <v>22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ht="18.75" customHeight="1">
      <c r="A4" t="s" s="8">
        <v>1</v>
      </c>
      <c r="B4" s="9"/>
      <c r="C4" s="9"/>
      <c r="D4" s="3"/>
      <c r="E4" s="5"/>
      <c r="F4" s="3"/>
      <c r="G4" s="3"/>
      <c r="H4" s="3"/>
      <c r="I4" s="3"/>
      <c r="J4" s="3"/>
      <c r="K4" s="3"/>
      <c r="L4" s="3"/>
      <c r="M4" s="3"/>
      <c r="N4" s="3"/>
    </row>
    <row r="5" ht="18.75" customHeight="1">
      <c r="A5" t="s" s="8">
        <v>2</v>
      </c>
      <c r="B5" s="36"/>
      <c r="C5" s="11"/>
      <c r="D5" s="3"/>
      <c r="E5" s="5"/>
      <c r="F5" s="3"/>
      <c r="G5" s="3"/>
      <c r="H5" s="3"/>
      <c r="I5" s="3"/>
      <c r="J5" s="3"/>
      <c r="K5" s="9"/>
      <c r="L5" s="9"/>
      <c r="M5" s="3"/>
      <c r="N5" s="3"/>
    </row>
    <row r="6" ht="18.75" customHeight="1">
      <c r="A6" t="s" s="8">
        <v>23</v>
      </c>
      <c r="B6" s="11"/>
      <c r="C6" s="11"/>
      <c r="D6" s="3"/>
      <c r="E6" s="5"/>
      <c r="F6" s="3"/>
      <c r="G6" s="3"/>
      <c r="H6" s="3"/>
      <c r="I6" s="3"/>
      <c r="J6" s="37"/>
      <c r="K6" t="s" s="38">
        <v>24</v>
      </c>
      <c r="L6" s="15"/>
      <c r="M6" s="39"/>
      <c r="N6" s="3"/>
    </row>
    <row r="7" ht="18.75" customHeight="1">
      <c r="A7" s="9"/>
      <c r="B7" s="11"/>
      <c r="C7" s="11"/>
      <c r="D7" s="9"/>
      <c r="E7" s="12"/>
      <c r="F7" s="9"/>
      <c r="G7" s="9"/>
      <c r="H7" s="9"/>
      <c r="I7" s="9"/>
      <c r="J7" s="40"/>
      <c r="K7" t="s" s="38">
        <v>25</v>
      </c>
      <c r="L7" s="41">
        <v>1</v>
      </c>
      <c r="M7" s="42"/>
      <c r="N7" s="9"/>
    </row>
    <row r="8" ht="33" customHeight="1">
      <c r="A8" t="s" s="13">
        <v>3</v>
      </c>
      <c r="B8" t="s" s="13">
        <v>26</v>
      </c>
      <c r="C8" t="s" s="13">
        <v>5</v>
      </c>
      <c r="D8" t="s" s="14">
        <v>27</v>
      </c>
      <c r="E8" t="s" s="14">
        <v>6</v>
      </c>
      <c r="F8" s="15"/>
      <c r="G8" t="s" s="14">
        <v>28</v>
      </c>
      <c r="H8" t="s" s="14">
        <v>29</v>
      </c>
      <c r="I8" t="s" s="14">
        <v>30</v>
      </c>
      <c r="J8" t="s" s="14">
        <v>31</v>
      </c>
      <c r="K8" t="s" s="14">
        <v>13</v>
      </c>
      <c r="L8" t="s" s="14">
        <v>11</v>
      </c>
      <c r="M8" s="16"/>
      <c r="N8" s="16"/>
    </row>
    <row r="9" ht="14.25" customHeight="1">
      <c r="A9" s="43"/>
      <c r="B9" s="18"/>
      <c r="C9" s="18"/>
      <c r="D9" s="18"/>
      <c r="E9" s="19">
        <f>ROUND(D9*$L$7,2)</f>
        <v>0</v>
      </c>
      <c r="F9" s="18"/>
      <c r="G9" s="19">
        <f>IF(G$8=$C9,$E9,0)</f>
        <v>0</v>
      </c>
      <c r="H9" s="19">
        <f>IF(H$8=$C9,$E9,0)</f>
        <v>0</v>
      </c>
      <c r="I9" s="19">
        <f>IF(I$8=$C9,$E9,0)</f>
        <v>0</v>
      </c>
      <c r="J9" s="19">
        <f>IF(J$8=$C9,$E9,0)</f>
        <v>0</v>
      </c>
      <c r="K9" s="19">
        <f>IF(K$8=$C9,$E9,0)</f>
        <v>0</v>
      </c>
      <c r="L9" s="19">
        <f>IF(L$8=$C9,$E9,0)</f>
        <v>0</v>
      </c>
      <c r="M9" s="19">
        <f>IF(M$8=$C9,$E9,0)</f>
        <v>0</v>
      </c>
      <c r="N9" s="19">
        <f>IF(N$8=$C9,$E9,0)</f>
        <v>0</v>
      </c>
    </row>
    <row r="10" ht="14.25" customHeight="1">
      <c r="A10" s="22"/>
      <c r="B10" s="22"/>
      <c r="C10" s="22"/>
      <c r="D10" s="22"/>
      <c r="E10" s="23">
        <f>ROUND(D10*$L$7,2)</f>
        <v>0</v>
      </c>
      <c r="F10" s="22"/>
      <c r="G10" s="23">
        <f>IF(G$8=$C10,$E10,0)</f>
        <v>0</v>
      </c>
      <c r="H10" s="23">
        <f>IF(H$8=$C10,$E10,0)</f>
        <v>0</v>
      </c>
      <c r="I10" s="23">
        <f>IF(I$8=$C10,$E10,0)</f>
        <v>0</v>
      </c>
      <c r="J10" s="23">
        <f>IF(J$8=$C10,$E10,0)</f>
        <v>0</v>
      </c>
      <c r="K10" s="23">
        <f>IF(K$8=$C10,$E10,0)</f>
        <v>0</v>
      </c>
      <c r="L10" s="23">
        <f>IF(L$8=$C10,$E10,0)</f>
        <v>0</v>
      </c>
      <c r="M10" s="23">
        <f>IF(M$8=$C10,$E10,0)</f>
        <v>0</v>
      </c>
      <c r="N10" s="23"/>
    </row>
    <row r="11" ht="14.25" customHeight="1">
      <c r="A11" s="22"/>
      <c r="B11" s="22"/>
      <c r="C11" s="22"/>
      <c r="D11" s="22"/>
      <c r="E11" s="23">
        <f>ROUND(D11*$L$7,2)</f>
        <v>0</v>
      </c>
      <c r="F11" s="22"/>
      <c r="G11" s="23">
        <f>IF(G$8=$C11,$E11,0)</f>
        <v>0</v>
      </c>
      <c r="H11" s="23">
        <f>IF(H$8=$C11,$E11,0)</f>
        <v>0</v>
      </c>
      <c r="I11" s="23">
        <f>IF(I$8=$C11,$E11,0)</f>
        <v>0</v>
      </c>
      <c r="J11" s="23">
        <f>IF(J$8=$C11,$E11,0)</f>
        <v>0</v>
      </c>
      <c r="K11" s="23">
        <f>IF(K$8=$C11,$E11,0)</f>
        <v>0</v>
      </c>
      <c r="L11" s="23">
        <f>IF(L$8=$C11,$E11,0)</f>
        <v>0</v>
      </c>
      <c r="M11" s="23">
        <f>IF(M$8=$C11,$E11,0)</f>
        <v>0</v>
      </c>
      <c r="N11" s="23"/>
    </row>
    <row r="12" ht="14.25" customHeight="1">
      <c r="A12" s="22"/>
      <c r="B12" s="22"/>
      <c r="C12" s="22"/>
      <c r="D12" s="22"/>
      <c r="E12" s="23">
        <f>ROUND(D12*$L$7,2)</f>
        <v>0</v>
      </c>
      <c r="F12" s="22"/>
      <c r="G12" s="23">
        <f>IF(G$8=$C12,$E12,0)</f>
        <v>0</v>
      </c>
      <c r="H12" s="23">
        <f>IF(H$8=$C12,$E12,0)</f>
        <v>0</v>
      </c>
      <c r="I12" s="23">
        <f>IF(I$8=$C12,$E12,0)</f>
        <v>0</v>
      </c>
      <c r="J12" s="23">
        <f>IF(J$8=$C12,$E12,0)</f>
        <v>0</v>
      </c>
      <c r="K12" s="23">
        <f>IF(K$8=$C12,$E12,0)</f>
        <v>0</v>
      </c>
      <c r="L12" s="23">
        <f>IF(L$8=$C12,$E12,0)</f>
        <v>0</v>
      </c>
      <c r="M12" s="23">
        <f>IF(M$8=$C12,$E12,0)</f>
        <v>0</v>
      </c>
      <c r="N12" s="23"/>
    </row>
    <row r="13" ht="14.25" customHeight="1">
      <c r="A13" s="22"/>
      <c r="B13" s="22"/>
      <c r="C13" s="22"/>
      <c r="D13" s="22"/>
      <c r="E13" s="23">
        <f>ROUND(D13*$L$7,2)</f>
        <v>0</v>
      </c>
      <c r="F13" s="22"/>
      <c r="G13" s="23">
        <f>IF(G$8=$C13,$E13,0)</f>
        <v>0</v>
      </c>
      <c r="H13" s="23">
        <f>IF(H$8=$C13,$E13,0)</f>
        <v>0</v>
      </c>
      <c r="I13" s="23">
        <f>IF(I$8=$C13,$E13,0)</f>
        <v>0</v>
      </c>
      <c r="J13" s="23">
        <f>IF(J$8=$C13,$E13,0)</f>
        <v>0</v>
      </c>
      <c r="K13" s="23">
        <f>IF(K$8=$C13,$E13,0)</f>
        <v>0</v>
      </c>
      <c r="L13" s="23">
        <f>IF(L$8=$C13,$E13,0)</f>
        <v>0</v>
      </c>
      <c r="M13" s="23">
        <f>IF(M$8=$C13,$E13,0)</f>
        <v>0</v>
      </c>
      <c r="N13" s="23"/>
    </row>
    <row r="14" ht="14.25" customHeight="1">
      <c r="A14" s="22"/>
      <c r="B14" s="22"/>
      <c r="C14" s="22"/>
      <c r="D14" s="22"/>
      <c r="E14" s="23">
        <f>ROUND(D14*$L$7,2)</f>
        <v>0</v>
      </c>
      <c r="F14" s="22"/>
      <c r="G14" s="23">
        <f>IF(G$8=$C14,$E14,0)</f>
        <v>0</v>
      </c>
      <c r="H14" s="23">
        <f>IF(H$8=$C14,$E14,0)</f>
        <v>0</v>
      </c>
      <c r="I14" s="23">
        <f>IF(I$8=$C14,$E14,0)</f>
        <v>0</v>
      </c>
      <c r="J14" s="23">
        <f>IF(J$8=$C14,$E14,0)</f>
        <v>0</v>
      </c>
      <c r="K14" s="23">
        <f>IF(K$8=$C14,$E14,0)</f>
        <v>0</v>
      </c>
      <c r="L14" s="23">
        <f>IF(L$8=$C14,$E14,0)</f>
        <v>0</v>
      </c>
      <c r="M14" s="23">
        <f>IF(M$8=$C14,$E14,0)</f>
        <v>0</v>
      </c>
      <c r="N14" s="23"/>
    </row>
    <row r="15" ht="14.25" customHeight="1">
      <c r="A15" s="22"/>
      <c r="B15" s="22"/>
      <c r="C15" s="22"/>
      <c r="D15" s="22"/>
      <c r="E15" s="23">
        <f>ROUND(D15*$L$7,2)</f>
        <v>0</v>
      </c>
      <c r="F15" s="22"/>
      <c r="G15" s="23">
        <f>IF(G$8=$C15,$E15,0)</f>
        <v>0</v>
      </c>
      <c r="H15" s="23">
        <f>IF(H$8=$C15,$E15,0)</f>
        <v>0</v>
      </c>
      <c r="I15" s="23">
        <f>IF(I$8=$C15,$E15,0)</f>
        <v>0</v>
      </c>
      <c r="J15" s="23">
        <f>IF(J$8=$C15,$E15,0)</f>
        <v>0</v>
      </c>
      <c r="K15" s="23">
        <f>IF(K$8=$C15,$E15,0)</f>
        <v>0</v>
      </c>
      <c r="L15" s="23">
        <f>IF(L$8=$C15,$E15,0)</f>
        <v>0</v>
      </c>
      <c r="M15" s="23">
        <f>IF(M$8=$C15,$E15,0)</f>
        <v>0</v>
      </c>
      <c r="N15" s="23"/>
    </row>
    <row r="16" ht="14.25" customHeight="1">
      <c r="A16" s="22"/>
      <c r="B16" s="22"/>
      <c r="C16" s="22"/>
      <c r="D16" s="22"/>
      <c r="E16" s="23">
        <f>ROUND(D16*$L$7,2)</f>
        <v>0</v>
      </c>
      <c r="F16" s="22"/>
      <c r="G16" s="23">
        <f>IF(G$8=$C16,$E16,0)</f>
        <v>0</v>
      </c>
      <c r="H16" s="23">
        <f>IF(H$8=$C16,$E16,0)</f>
        <v>0</v>
      </c>
      <c r="I16" s="23">
        <f>IF(I$8=$C16,$E16,0)</f>
        <v>0</v>
      </c>
      <c r="J16" s="23">
        <f>IF(J$8=$C16,$E16,0)</f>
        <v>0</v>
      </c>
      <c r="K16" s="23">
        <f>IF(K$8=$C16,$E16,0)</f>
        <v>0</v>
      </c>
      <c r="L16" s="23">
        <f>IF(L$8=$C16,$E16,0)</f>
        <v>0</v>
      </c>
      <c r="M16" s="23">
        <f>IF(M$8=$C16,$E16,0)</f>
        <v>0</v>
      </c>
      <c r="N16" s="23"/>
    </row>
    <row r="17" ht="14.25" customHeight="1">
      <c r="A17" s="22"/>
      <c r="B17" s="22"/>
      <c r="C17" s="22"/>
      <c r="D17" s="22"/>
      <c r="E17" s="23">
        <f>ROUND(D17*$L$7,2)</f>
        <v>0</v>
      </c>
      <c r="F17" s="22"/>
      <c r="G17" s="23">
        <f>IF(G$8=$C17,$E17,0)</f>
        <v>0</v>
      </c>
      <c r="H17" s="23">
        <f>IF(H$8=$C17,$E17,0)</f>
        <v>0</v>
      </c>
      <c r="I17" s="23">
        <f>IF(I$8=$C17,$E17,0)</f>
        <v>0</v>
      </c>
      <c r="J17" s="23">
        <f>IF(J$8=$C17,$E17,0)</f>
        <v>0</v>
      </c>
      <c r="K17" s="23">
        <f>IF(K$8=$C17,$E17,0)</f>
        <v>0</v>
      </c>
      <c r="L17" s="23">
        <f>IF(L$8=$C17,$E17,0)</f>
        <v>0</v>
      </c>
      <c r="M17" s="23">
        <f>IF(M$8=$C17,$E17,0)</f>
        <v>0</v>
      </c>
      <c r="N17" s="23"/>
    </row>
    <row r="18" ht="14.25" customHeight="1">
      <c r="A18" s="22"/>
      <c r="B18" s="22"/>
      <c r="C18" s="22"/>
      <c r="D18" s="22"/>
      <c r="E18" s="23">
        <f>ROUND(D18*$L$7,2)</f>
        <v>0</v>
      </c>
      <c r="F18" s="22"/>
      <c r="G18" s="23">
        <f>IF(G$8=$C18,$E18,0)</f>
        <v>0</v>
      </c>
      <c r="H18" s="23">
        <f>IF(H$8=$C18,$E18,0)</f>
        <v>0</v>
      </c>
      <c r="I18" s="23">
        <f>IF(I$8=$C18,$E18,0)</f>
        <v>0</v>
      </c>
      <c r="J18" s="23">
        <f>IF(J$8=$C18,$E18,0)</f>
        <v>0</v>
      </c>
      <c r="K18" s="23">
        <f>IF(K$8=$C18,$E18,0)</f>
        <v>0</v>
      </c>
      <c r="L18" s="23">
        <f>IF(L$8=$C18,$E18,0)</f>
        <v>0</v>
      </c>
      <c r="M18" s="23">
        <f>IF(M$8=$C18,$E18,0)</f>
        <v>0</v>
      </c>
      <c r="N18" s="23"/>
    </row>
    <row r="19" ht="14.25" customHeight="1">
      <c r="A19" s="22"/>
      <c r="B19" s="22"/>
      <c r="C19" s="22"/>
      <c r="D19" s="22"/>
      <c r="E19" s="23">
        <f>ROUND(D19*$L$7,2)</f>
        <v>0</v>
      </c>
      <c r="F19" s="22"/>
      <c r="G19" s="23">
        <f>IF(G$8=$C19,$E19,0)</f>
        <v>0</v>
      </c>
      <c r="H19" s="23">
        <f>IF(H$8=$C19,$E19,0)</f>
        <v>0</v>
      </c>
      <c r="I19" s="23">
        <f>IF(I$8=$C19,$E19,0)</f>
        <v>0</v>
      </c>
      <c r="J19" s="23">
        <f>IF(J$8=$C19,$E19,0)</f>
        <v>0</v>
      </c>
      <c r="K19" s="23">
        <f>IF(K$8=$C19,$E19,0)</f>
        <v>0</v>
      </c>
      <c r="L19" s="23">
        <f>IF(L$8=$C19,$E19,0)</f>
        <v>0</v>
      </c>
      <c r="M19" s="23">
        <f>IF(M$8=$C19,$E19,0)</f>
        <v>0</v>
      </c>
      <c r="N19" s="23"/>
    </row>
    <row r="20" ht="14.25" customHeight="1">
      <c r="A20" s="22"/>
      <c r="B20" s="22"/>
      <c r="C20" s="22"/>
      <c r="D20" s="22"/>
      <c r="E20" s="23">
        <f>ROUND(D20*$L$7,2)</f>
        <v>0</v>
      </c>
      <c r="F20" s="22"/>
      <c r="G20" s="23">
        <f>IF(G$8=$C20,$E20,0)</f>
        <v>0</v>
      </c>
      <c r="H20" s="23">
        <f>IF(H$8=$C20,$E20,0)</f>
        <v>0</v>
      </c>
      <c r="I20" s="23">
        <f>IF(I$8=$C20,$E20,0)</f>
        <v>0</v>
      </c>
      <c r="J20" s="23">
        <f>IF(J$8=$C20,$E20,0)</f>
        <v>0</v>
      </c>
      <c r="K20" s="23">
        <f>IF(K$8=$C20,$E20,0)</f>
        <v>0</v>
      </c>
      <c r="L20" s="23">
        <f>IF(L$8=$C20,$E20,0)</f>
        <v>0</v>
      </c>
      <c r="M20" s="23">
        <f>IF(M$8=$C20,$E20,0)</f>
        <v>0</v>
      </c>
      <c r="N20" s="23">
        <f>IF(N$8=$C20,$E20,0)</f>
        <v>0</v>
      </c>
    </row>
    <row r="21" ht="14.25" customHeight="1">
      <c r="A21" s="22"/>
      <c r="B21" s="22"/>
      <c r="C21" s="22"/>
      <c r="D21" s="22"/>
      <c r="E21" s="23">
        <f>ROUND(D21*$L$7,2)</f>
        <v>0</v>
      </c>
      <c r="F21" s="22"/>
      <c r="G21" s="23">
        <f>IF(G$8=$C21,$E21,0)</f>
        <v>0</v>
      </c>
      <c r="H21" s="23">
        <f>IF(H$8=$C21,$E21,0)</f>
        <v>0</v>
      </c>
      <c r="I21" s="23">
        <f>IF(I$8=$C21,$E21,0)</f>
        <v>0</v>
      </c>
      <c r="J21" s="23">
        <f>IF(J$8=$C21,$E21,0)</f>
        <v>0</v>
      </c>
      <c r="K21" s="23">
        <f>IF(K$8=$C21,$E21,0)</f>
        <v>0</v>
      </c>
      <c r="L21" s="23">
        <f>IF(L$8=$C21,$E21,0)</f>
        <v>0</v>
      </c>
      <c r="M21" s="23">
        <f>IF(M$8=$C21,$E21,0)</f>
        <v>0</v>
      </c>
      <c r="N21" s="23">
        <f>IF(N$8=$C21,$E21,0)</f>
        <v>0</v>
      </c>
    </row>
    <row r="22" ht="14.25" customHeight="1">
      <c r="A22" s="22"/>
      <c r="B22" s="22"/>
      <c r="C22" s="22"/>
      <c r="D22" s="22"/>
      <c r="E22" s="23">
        <f>ROUND(D22*$L$7,2)</f>
        <v>0</v>
      </c>
      <c r="F22" s="22"/>
      <c r="G22" s="23">
        <f>IF(G$8=$C22,$E22,0)</f>
        <v>0</v>
      </c>
      <c r="H22" s="23">
        <f>IF(H$8=$C22,$E22,0)</f>
        <v>0</v>
      </c>
      <c r="I22" s="23">
        <f>IF(I$8=$C22,$E22,0)</f>
        <v>0</v>
      </c>
      <c r="J22" s="23">
        <f>IF(J$8=$C22,$E22,0)</f>
        <v>0</v>
      </c>
      <c r="K22" s="23">
        <f>IF(K$8=$C22,$E22,0)</f>
        <v>0</v>
      </c>
      <c r="L22" s="23">
        <f>IF(L$8=$C22,$E22,0)</f>
        <v>0</v>
      </c>
      <c r="M22" s="23">
        <f>IF(M$8=$C22,$E22,0)</f>
        <v>0</v>
      </c>
      <c r="N22" s="23">
        <f>IF(N$8=$C22,$E22,0)</f>
        <v>0</v>
      </c>
    </row>
    <row r="23" ht="14.25" customHeight="1">
      <c r="A23" s="22"/>
      <c r="B23" s="22"/>
      <c r="C23" s="22"/>
      <c r="D23" s="22"/>
      <c r="E23" s="23">
        <f>ROUND(D23*$L$7,2)</f>
        <v>0</v>
      </c>
      <c r="F23" s="22"/>
      <c r="G23" s="23">
        <f>IF(G$8=$C23,$E23,0)</f>
        <v>0</v>
      </c>
      <c r="H23" s="23">
        <f>IF(H$8=$C23,$E23,0)</f>
        <v>0</v>
      </c>
      <c r="I23" s="23">
        <f>IF(I$8=$C23,$E23,0)</f>
        <v>0</v>
      </c>
      <c r="J23" s="23">
        <f>IF(J$8=$C23,$E23,0)</f>
        <v>0</v>
      </c>
      <c r="K23" s="23">
        <f>IF(K$8=$C23,$E23,0)</f>
        <v>0</v>
      </c>
      <c r="L23" s="23">
        <f>IF(L$8=$C23,$E23,0)</f>
        <v>0</v>
      </c>
      <c r="M23" s="23">
        <f>IF(M$8=$C23,$E23,0)</f>
        <v>0</v>
      </c>
      <c r="N23" s="23">
        <f>IF(N$8=$C23,$E23,0)</f>
        <v>0</v>
      </c>
    </row>
    <row r="24" ht="14.25" customHeight="1">
      <c r="A24" s="22"/>
      <c r="B24" s="22"/>
      <c r="C24" s="22"/>
      <c r="D24" s="22"/>
      <c r="E24" s="23">
        <f>ROUND(D24*$L$7,2)</f>
        <v>0</v>
      </c>
      <c r="F24" s="22"/>
      <c r="G24" s="23">
        <f>IF(G$8=$C24,$E24,0)</f>
        <v>0</v>
      </c>
      <c r="H24" s="23">
        <f>IF(H$8=$C24,$E24,0)</f>
        <v>0</v>
      </c>
      <c r="I24" s="23">
        <f>IF(I$8=$C24,$E24,0)</f>
        <v>0</v>
      </c>
      <c r="J24" s="23">
        <f>IF(J$8=$C24,$E24,0)</f>
        <v>0</v>
      </c>
      <c r="K24" s="23">
        <f>IF(K$8=$C24,$E24,0)</f>
        <v>0</v>
      </c>
      <c r="L24" s="23">
        <f>IF(L$8=$C24,$E24,0)</f>
        <v>0</v>
      </c>
      <c r="M24" s="23">
        <f>IF(M$8=$C24,$E24,0)</f>
        <v>0</v>
      </c>
      <c r="N24" s="23">
        <f>IF(N$8=$C24,$E24,0)</f>
        <v>0</v>
      </c>
    </row>
    <row r="25" ht="14.25" customHeight="1">
      <c r="A25" s="22"/>
      <c r="B25" s="22"/>
      <c r="C25" s="22"/>
      <c r="D25" s="22"/>
      <c r="E25" s="23"/>
      <c r="F25" s="22"/>
      <c r="G25" s="23">
        <f>IF(G$8=$C25,$E25,0)</f>
        <v>0</v>
      </c>
      <c r="H25" s="23">
        <f>IF(H$8=$C25,$E25,0)</f>
        <v>0</v>
      </c>
      <c r="I25" s="23">
        <f>IF(I$8=$C25,$E25,0)</f>
        <v>0</v>
      </c>
      <c r="J25" s="23">
        <f>IF(J$8=$C25,$E25,0)</f>
        <v>0</v>
      </c>
      <c r="K25" s="23">
        <f>IF(K$8=$C25,$E25,0)</f>
        <v>0</v>
      </c>
      <c r="L25" s="23">
        <f>IF(L$8=$C25,$E25,0)</f>
        <v>0</v>
      </c>
      <c r="M25" s="23">
        <f>IF(M$8=$C25,$E25,0)</f>
        <v>0</v>
      </c>
      <c r="N25" s="23">
        <f>IF(N$8=$C25,$E25,0)</f>
        <v>0</v>
      </c>
    </row>
    <row r="26" ht="14.25" customHeight="1">
      <c r="A26" s="22"/>
      <c r="B26" s="22"/>
      <c r="C26" s="22"/>
      <c r="D26" s="22"/>
      <c r="E26" s="23">
        <f>ROUND(D26*$L$7,2)</f>
        <v>0</v>
      </c>
      <c r="F26" s="22"/>
      <c r="G26" s="23">
        <f>IF(G$8=$C26,$E26,0)</f>
        <v>0</v>
      </c>
      <c r="H26" s="23">
        <f>IF(H$8=$C26,$E26,0)</f>
        <v>0</v>
      </c>
      <c r="I26" s="23">
        <f>IF(I$8=$C26,$E26,0)</f>
        <v>0</v>
      </c>
      <c r="J26" s="23">
        <f>IF(J$8=$C26,$E26,0)</f>
        <v>0</v>
      </c>
      <c r="K26" s="23">
        <f>IF(K$8=$C26,$E26,0)</f>
        <v>0</v>
      </c>
      <c r="L26" s="23">
        <f>IF(L$8=$C26,$E26,0)</f>
        <v>0</v>
      </c>
      <c r="M26" s="23">
        <f>IF(M$8=$C26,$E26,0)</f>
        <v>0</v>
      </c>
      <c r="N26" s="23"/>
    </row>
    <row r="27" ht="14.25" customHeight="1">
      <c r="A27" s="22"/>
      <c r="B27" s="22"/>
      <c r="C27" s="22"/>
      <c r="D27" s="22"/>
      <c r="E27" s="23">
        <f>ROUND(D27*$L$7,2)</f>
        <v>0</v>
      </c>
      <c r="F27" s="22"/>
      <c r="G27" s="23">
        <f>IF(G$8=$C27,$E27,0)</f>
        <v>0</v>
      </c>
      <c r="H27" s="23">
        <f>IF(H$8=$C27,$E27,0)</f>
        <v>0</v>
      </c>
      <c r="I27" s="23">
        <f>IF(I$8=$C27,$E27,0)</f>
        <v>0</v>
      </c>
      <c r="J27" s="23">
        <f>IF(J$8=$C27,$E27,0)</f>
        <v>0</v>
      </c>
      <c r="K27" s="23">
        <f>IF(K$8=$C27,$E27,0)</f>
        <v>0</v>
      </c>
      <c r="L27" s="23">
        <f>IF(L$8=$C27,$E27,0)</f>
        <v>0</v>
      </c>
      <c r="M27" s="23">
        <f>IF(M$8=$C27,$E27,0)</f>
        <v>0</v>
      </c>
      <c r="N27" s="23"/>
    </row>
    <row r="28" ht="14.25" customHeight="1">
      <c r="A28" s="22"/>
      <c r="B28" s="22"/>
      <c r="C28" s="22"/>
      <c r="D28" s="22"/>
      <c r="E28" s="23">
        <f>ROUND(D28*$L$7,2)</f>
        <v>0</v>
      </c>
      <c r="F28" s="22"/>
      <c r="G28" s="23">
        <f>IF(G$8=$C28,$E28,0)</f>
        <v>0</v>
      </c>
      <c r="H28" s="23">
        <f>IF(H$8=$C28,$E28,0)</f>
        <v>0</v>
      </c>
      <c r="I28" s="23">
        <f>IF(I$8=$C28,$E28,0)</f>
        <v>0</v>
      </c>
      <c r="J28" s="23">
        <f>IF(J$8=$C28,$E28,0)</f>
        <v>0</v>
      </c>
      <c r="K28" s="23">
        <f>IF(K$8=$C28,$E28,0)</f>
        <v>0</v>
      </c>
      <c r="L28" s="23">
        <f>IF(L$8=$C28,$E28,0)</f>
        <v>0</v>
      </c>
      <c r="M28" s="23">
        <f>IF(M$8=$C28,$E28,0)</f>
        <v>0</v>
      </c>
      <c r="N28" s="23">
        <f>IF(N$8=$C28,$E28,0)</f>
        <v>0</v>
      </c>
    </row>
    <row r="29" ht="14.25" customHeight="1">
      <c r="A29" s="22"/>
      <c r="B29" s="22"/>
      <c r="C29" s="22"/>
      <c r="D29" s="22"/>
      <c r="E29" s="23">
        <f>ROUND(D29*$L$7,2)</f>
        <v>0</v>
      </c>
      <c r="F29" s="22"/>
      <c r="G29" s="23">
        <f>IF(G$8=$C29,$E29,0)</f>
        <v>0</v>
      </c>
      <c r="H29" s="23">
        <f>IF(H$8=$C29,$E29,0)</f>
        <v>0</v>
      </c>
      <c r="I29" s="23">
        <f>IF(I$8=$C29,$E29,0)</f>
        <v>0</v>
      </c>
      <c r="J29" s="23">
        <f>IF(J$8=$C29,$E29,0)</f>
        <v>0</v>
      </c>
      <c r="K29" s="23">
        <f>IF(K$8=$C29,$E29,0)</f>
        <v>0</v>
      </c>
      <c r="L29" s="23">
        <f>IF(L$8=$C29,$E29,0)</f>
        <v>0</v>
      </c>
      <c r="M29" s="23">
        <f>IF(M$8=$C29,$E29,0)</f>
        <v>0</v>
      </c>
      <c r="N29" s="23">
        <f>IF(N$8=$C29,$E29,0)</f>
        <v>0</v>
      </c>
    </row>
    <row r="30" ht="14.25" customHeight="1">
      <c r="A30" s="22"/>
      <c r="B30" s="22"/>
      <c r="C30" s="22"/>
      <c r="D30" s="22"/>
      <c r="E30" s="23">
        <f>ROUND(D30*$L$7,2)</f>
        <v>0</v>
      </c>
      <c r="F30" s="22"/>
      <c r="G30" s="23">
        <f>IF(G$8=$C30,$E30,0)</f>
        <v>0</v>
      </c>
      <c r="H30" s="23">
        <f>IF(H$8=$C30,$E30,0)</f>
        <v>0</v>
      </c>
      <c r="I30" s="23">
        <f>IF(I$8=$C30,$E30,0)</f>
        <v>0</v>
      </c>
      <c r="J30" s="23">
        <f>IF(J$8=$C30,$E30,0)</f>
        <v>0</v>
      </c>
      <c r="K30" s="23">
        <f>IF(K$8=$C30,$E30,0)</f>
        <v>0</v>
      </c>
      <c r="L30" s="23">
        <f>IF(L$8=$C30,$E30,0)</f>
        <v>0</v>
      </c>
      <c r="M30" s="23">
        <f>IF(M$8=$C30,$E30,0)</f>
        <v>0</v>
      </c>
      <c r="N30" s="23">
        <f>IF(N$8=$C30,$E30,0)</f>
        <v>0</v>
      </c>
    </row>
    <row r="31" ht="14.25" customHeight="1">
      <c r="A31" s="22"/>
      <c r="B31" s="22"/>
      <c r="C31" s="22"/>
      <c r="D31" s="22"/>
      <c r="E31" s="23">
        <f>ROUND(D31*$L$7,2)</f>
        <v>0</v>
      </c>
      <c r="F31" s="22"/>
      <c r="G31" s="23">
        <f>IF(G$8=$C31,$E31,0)</f>
        <v>0</v>
      </c>
      <c r="H31" s="23">
        <f>IF(H$8=$C31,$E31,0)</f>
        <v>0</v>
      </c>
      <c r="I31" s="23">
        <f>IF(I$8=$C31,$E31,0)</f>
        <v>0</v>
      </c>
      <c r="J31" s="23">
        <f>IF(J$8=$C31,$E31,0)</f>
        <v>0</v>
      </c>
      <c r="K31" s="23">
        <f>IF(K$8=$C31,$E31,0)</f>
        <v>0</v>
      </c>
      <c r="L31" s="23">
        <f>IF(L$8=$C31,$E31,0)</f>
        <v>0</v>
      </c>
      <c r="M31" s="23">
        <f>IF(M$8=$C31,$E31,0)</f>
        <v>0</v>
      </c>
      <c r="N31" s="23">
        <f>IF(N$8=$C31,$E31,0)</f>
        <v>0</v>
      </c>
    </row>
    <row r="32" ht="14.25" customHeight="1">
      <c r="A32" s="22"/>
      <c r="B32" s="22"/>
      <c r="C32" s="22"/>
      <c r="D32" s="22"/>
      <c r="E32" s="23">
        <f>ROUND(D32*$L$7,2)</f>
        <v>0</v>
      </c>
      <c r="F32" s="22"/>
      <c r="G32" s="23">
        <f>IF(G$8=$C32,$E32,0)</f>
        <v>0</v>
      </c>
      <c r="H32" s="23">
        <f>IF(H$8=$C32,$E32,0)</f>
        <v>0</v>
      </c>
      <c r="I32" s="23">
        <f>IF(I$8=$C32,$E32,0)</f>
        <v>0</v>
      </c>
      <c r="J32" s="23">
        <f>IF(J$8=$C32,$E32,0)</f>
        <v>0</v>
      </c>
      <c r="K32" s="23">
        <f>IF(K$8=$C32,$E32,0)</f>
        <v>0</v>
      </c>
      <c r="L32" s="23">
        <f>IF(L$8=$C32,$E32,0)</f>
        <v>0</v>
      </c>
      <c r="M32" s="23">
        <f>IF(M$8=$C32,$E32,0)</f>
        <v>0</v>
      </c>
      <c r="N32" s="23">
        <f>IF(N$8=$C32,$E32,0)</f>
        <v>0</v>
      </c>
    </row>
    <row r="33" ht="14.25" customHeight="1">
      <c r="A33" s="22"/>
      <c r="B33" s="22"/>
      <c r="C33" s="22"/>
      <c r="D33" s="22"/>
      <c r="E33" s="23">
        <f>ROUND(D33*$L$7,2)</f>
        <v>0</v>
      </c>
      <c r="F33" s="22"/>
      <c r="G33" s="23">
        <f>IF(G$8=$C33,$E33,0)</f>
        <v>0</v>
      </c>
      <c r="H33" s="23">
        <f>IF(H$8=$C33,$E33,0)</f>
        <v>0</v>
      </c>
      <c r="I33" s="23">
        <f>IF(I$8=$C33,$E33,0)</f>
        <v>0</v>
      </c>
      <c r="J33" s="23">
        <f>IF(J$8=$C33,$E33,0)</f>
        <v>0</v>
      </c>
      <c r="K33" s="23">
        <f>IF(K$8=$C33,$E33,0)</f>
        <v>0</v>
      </c>
      <c r="L33" s="23">
        <f>IF(L$8=$C33,$E33,0)</f>
        <v>0</v>
      </c>
      <c r="M33" s="23">
        <f>IF(M$8=$C33,$E33,0)</f>
        <v>0</v>
      </c>
      <c r="N33" s="23">
        <f>IF(N$8=$C33,$E33,0)</f>
        <v>0</v>
      </c>
    </row>
    <row r="34" ht="14.25" customHeight="1">
      <c r="A34" s="22"/>
      <c r="B34" s="22"/>
      <c r="C34" s="22"/>
      <c r="D34" s="22"/>
      <c r="E34" s="23">
        <f>ROUND(D34*$L$7,2)</f>
        <v>0</v>
      </c>
      <c r="F34" s="22"/>
      <c r="G34" s="23">
        <f>IF(G$8=$C34,$E34,0)</f>
        <v>0</v>
      </c>
      <c r="H34" s="23">
        <f>IF(H$8=$C34,$E34,0)</f>
        <v>0</v>
      </c>
      <c r="I34" s="23">
        <f>IF(I$8=$C34,$E34,0)</f>
        <v>0</v>
      </c>
      <c r="J34" s="23">
        <f>IF(J$8=$C34,$E34,0)</f>
        <v>0</v>
      </c>
      <c r="K34" s="23">
        <f>IF(K$8=$C34,$E34,0)</f>
        <v>0</v>
      </c>
      <c r="L34" s="23">
        <f>IF(L$8=$C34,$E34,0)</f>
        <v>0</v>
      </c>
      <c r="M34" s="23">
        <f>IF(M$8=$C34,$E34,0)</f>
        <v>0</v>
      </c>
      <c r="N34" s="23"/>
    </row>
    <row r="35" ht="14.25" customHeight="1">
      <c r="A35" s="22"/>
      <c r="B35" s="22"/>
      <c r="C35" s="22"/>
      <c r="D35" s="22"/>
      <c r="E35" s="23">
        <f>ROUND(D35*$L$7,2)</f>
        <v>0</v>
      </c>
      <c r="F35" s="22"/>
      <c r="G35" s="23">
        <f>IF(G$8=$C35,$E35,0)</f>
        <v>0</v>
      </c>
      <c r="H35" s="23">
        <f>IF(H$8=$C35,$E35,0)</f>
        <v>0</v>
      </c>
      <c r="I35" s="23">
        <f>IF(I$8=$C35,$E35,0)</f>
        <v>0</v>
      </c>
      <c r="J35" s="23">
        <f>IF(J$8=$C35,$E35,0)</f>
        <v>0</v>
      </c>
      <c r="K35" s="23">
        <f>IF(K$8=$C35,$E35,0)</f>
        <v>0</v>
      </c>
      <c r="L35" s="23">
        <f>IF(L$8=$C35,$E35,0)</f>
        <v>0</v>
      </c>
      <c r="M35" s="23">
        <f>IF(M$8=$C35,$E35,0)</f>
        <v>0</v>
      </c>
      <c r="N35" s="23"/>
    </row>
    <row r="36" ht="14.25" customHeight="1">
      <c r="A36" s="22"/>
      <c r="B36" s="22"/>
      <c r="C36" s="22"/>
      <c r="D36" s="22"/>
      <c r="E36" s="23">
        <f>ROUND(D36*$L$7,2)</f>
        <v>0</v>
      </c>
      <c r="F36" s="22"/>
      <c r="G36" s="23">
        <f>IF(G$8=$C36,$E36,0)</f>
        <v>0</v>
      </c>
      <c r="H36" s="23">
        <f>IF(H$8=$C36,$E36,0)</f>
        <v>0</v>
      </c>
      <c r="I36" s="23">
        <f>IF(I$8=$C36,$E36,0)</f>
        <v>0</v>
      </c>
      <c r="J36" s="23">
        <f>IF(J$8=$C36,$E36,0)</f>
        <v>0</v>
      </c>
      <c r="K36" s="23">
        <f>IF(K$8=$C36,$E36,0)</f>
        <v>0</v>
      </c>
      <c r="L36" s="23">
        <f>IF(L$8=$C36,$E36,0)</f>
        <v>0</v>
      </c>
      <c r="M36" s="23">
        <f>IF(M$8=$C36,$E36,0)</f>
        <v>0</v>
      </c>
      <c r="N36" s="23"/>
    </row>
    <row r="37" ht="14.25" customHeight="1">
      <c r="A37" s="22"/>
      <c r="B37" s="22"/>
      <c r="C37" s="22"/>
      <c r="D37" s="22"/>
      <c r="E37" s="23">
        <f>ROUND(D37*$L$7,2)</f>
        <v>0</v>
      </c>
      <c r="F37" s="22"/>
      <c r="G37" s="23">
        <f>IF(G$8=$C37,$E37,0)</f>
        <v>0</v>
      </c>
      <c r="H37" s="23">
        <f>IF(H$8=$C37,$E37,0)</f>
        <v>0</v>
      </c>
      <c r="I37" s="23">
        <f>IF(I$8=$C37,$E37,0)</f>
        <v>0</v>
      </c>
      <c r="J37" s="23">
        <f>IF(J$8=$C37,$E37,0)</f>
        <v>0</v>
      </c>
      <c r="K37" s="23">
        <f>IF(K$8=$C37,$E37,0)</f>
        <v>0</v>
      </c>
      <c r="L37" s="23">
        <f>IF(L$8=$C37,$E37,0)</f>
        <v>0</v>
      </c>
      <c r="M37" s="23">
        <f>IF(M$8=$C37,$E37,0)</f>
        <v>0</v>
      </c>
      <c r="N37" s="23">
        <f>IF(N$8=$C37,$E37,0)</f>
        <v>0</v>
      </c>
    </row>
    <row r="38" ht="14.25" customHeight="1">
      <c r="A38" s="22"/>
      <c r="B38" s="22"/>
      <c r="C38" s="22"/>
      <c r="D38" s="22"/>
      <c r="E38" s="23">
        <f>ROUND(D38*$L$7,2)</f>
        <v>0</v>
      </c>
      <c r="F38" s="22"/>
      <c r="G38" s="23">
        <f>IF(G$8=$C38,$E38,0)</f>
        <v>0</v>
      </c>
      <c r="H38" s="23">
        <f>IF(H$8=$C38,$E38,0)</f>
        <v>0</v>
      </c>
      <c r="I38" s="23">
        <f>IF(I$8=$C38,$E38,0)</f>
        <v>0</v>
      </c>
      <c r="J38" s="23">
        <f>IF(J$8=$C38,$E38,0)</f>
        <v>0</v>
      </c>
      <c r="K38" s="23">
        <f>IF(K$8=$C38,$E38,0)</f>
        <v>0</v>
      </c>
      <c r="L38" s="23">
        <f>IF(L$8=$C38,$E38,0)</f>
        <v>0</v>
      </c>
      <c r="M38" s="23">
        <f>IF(M$8=$C38,$E38,0)</f>
        <v>0</v>
      </c>
      <c r="N38" s="23">
        <f>IF(N$8=$C38,$E38,0)</f>
        <v>0</v>
      </c>
    </row>
    <row r="39" ht="14.25" customHeight="1">
      <c r="A39" s="22"/>
      <c r="B39" s="22"/>
      <c r="C39" s="22"/>
      <c r="D39" s="22"/>
      <c r="E39" s="23">
        <f>ROUND(D39*$L$7,2)</f>
        <v>0</v>
      </c>
      <c r="F39" s="22"/>
      <c r="G39" s="23">
        <f>IF(G$8=$C39,$E39,0)</f>
        <v>0</v>
      </c>
      <c r="H39" s="23">
        <f>IF(H$8=$C39,$E39,0)</f>
        <v>0</v>
      </c>
      <c r="I39" s="23">
        <f>IF(I$8=$C39,$E39,0)</f>
        <v>0</v>
      </c>
      <c r="J39" s="23">
        <f>IF(J$8=$C39,$E39,0)</f>
        <v>0</v>
      </c>
      <c r="K39" s="23">
        <f>IF(K$8=$C39,$E39,0)</f>
        <v>0</v>
      </c>
      <c r="L39" s="23">
        <f>IF(L$8=$C39,$E39,0)</f>
        <v>0</v>
      </c>
      <c r="M39" s="23">
        <f>IF(M$8=$C39,$E39,0)</f>
        <v>0</v>
      </c>
      <c r="N39" s="23">
        <f>IF(N$8=$C39,$E39,0)</f>
        <v>0</v>
      </c>
    </row>
    <row r="40" ht="14.25" customHeight="1">
      <c r="A40" s="22"/>
      <c r="B40" s="22"/>
      <c r="C40" s="22"/>
      <c r="D40" s="22"/>
      <c r="E40" s="23">
        <f>ROUND(D40*$L$7,2)</f>
        <v>0</v>
      </c>
      <c r="F40" s="22"/>
      <c r="G40" s="23">
        <f>IF(G$8=$C40,$E40,0)</f>
        <v>0</v>
      </c>
      <c r="H40" s="23">
        <f>IF(H$8=$C40,$E40,0)</f>
        <v>0</v>
      </c>
      <c r="I40" s="23">
        <f>IF(I$8=$C40,$E40,0)</f>
        <v>0</v>
      </c>
      <c r="J40" s="23">
        <f>IF(J$8=$C40,$E40,0)</f>
        <v>0</v>
      </c>
      <c r="K40" s="23">
        <f>IF(K$8=$C40,$E40,0)</f>
        <v>0</v>
      </c>
      <c r="L40" s="23">
        <f>IF(L$8=$C40,$E40,0)</f>
        <v>0</v>
      </c>
      <c r="M40" s="23">
        <f>IF(M$8=$C40,$E40,0)</f>
        <v>0</v>
      </c>
      <c r="N40" s="23">
        <f>IF(N$8=$C40,$E40,0)</f>
        <v>0</v>
      </c>
    </row>
    <row r="41" ht="14.25" customHeight="1">
      <c r="A41" s="22"/>
      <c r="B41" s="22"/>
      <c r="C41" s="22"/>
      <c r="D41" s="22"/>
      <c r="E41" s="23">
        <f>ROUND(D41*$L$7,2)</f>
        <v>0</v>
      </c>
      <c r="F41" s="22"/>
      <c r="G41" s="23">
        <f>IF(G$8=$C224,$E224,0)</f>
        <v>0</v>
      </c>
      <c r="H41" s="23">
        <f>IF(H$8=$C224,$E224,0)</f>
        <v>0</v>
      </c>
      <c r="I41" s="23">
        <f>IF(I$8=$C224,$E224,0)</f>
        <v>0</v>
      </c>
      <c r="J41" s="23">
        <f>IF(J$8=$C224,$E224,0)</f>
        <v>0</v>
      </c>
      <c r="K41" s="23">
        <f>IF(K$8=$C224,$E224,0)</f>
        <v>0</v>
      </c>
      <c r="L41" s="23">
        <f>IF(L$8=$C224,$E224,0)</f>
        <v>0</v>
      </c>
      <c r="M41" s="23">
        <f>IF(M$8=$C224,$E224,0)</f>
        <v>0</v>
      </c>
      <c r="N41" s="23">
        <f>IF(N$8=$C41,$E41,0)</f>
        <v>0</v>
      </c>
    </row>
    <row r="42" ht="15" customHeight="1">
      <c r="A42" s="44"/>
      <c r="B42" s="44"/>
      <c r="C42" s="44"/>
      <c r="D42" s="44"/>
      <c r="E42" s="45">
        <f>ROUND(D42*$L$7,2)</f>
        <v>0</v>
      </c>
      <c r="F42" s="22"/>
      <c r="G42" s="23">
        <f>IF(G$8=$C42,$E42,0)</f>
        <v>0</v>
      </c>
      <c r="H42" s="23">
        <f>IF(H$8=$C42,$E42,0)</f>
        <v>0</v>
      </c>
      <c r="I42" s="23">
        <f>IF(I$8=$C42,$E42,0)</f>
        <v>0</v>
      </c>
      <c r="J42" s="23">
        <f>IF(J$8=$C42,$E42,0)</f>
        <v>0</v>
      </c>
      <c r="K42" s="23">
        <f>IF(K$8=$C42,$E42,0)</f>
        <v>0</v>
      </c>
      <c r="L42" s="23">
        <f>IF(L$8=$C42,$E42,0)</f>
        <v>0</v>
      </c>
      <c r="M42" s="23">
        <f>IF(M$8=$C42,$E42,0)</f>
        <v>0</v>
      </c>
      <c r="N42" s="23">
        <f>IF(N$8=$C42,$E42,0)</f>
        <v>0</v>
      </c>
    </row>
    <row r="43" ht="15" customHeight="1">
      <c r="A43" t="s" s="46">
        <v>32</v>
      </c>
      <c r="B43" s="47"/>
      <c r="C43" s="48"/>
      <c r="D43" s="49"/>
      <c r="E43" s="50"/>
      <c r="F43" s="51"/>
      <c r="G43" s="23"/>
      <c r="H43" s="23"/>
      <c r="I43" s="23"/>
      <c r="J43" s="23"/>
      <c r="K43" s="23"/>
      <c r="L43" s="23"/>
      <c r="M43" s="23"/>
      <c r="N43" s="23"/>
    </row>
    <row r="44" ht="14.25" customHeight="1">
      <c r="A44" s="52"/>
      <c r="B44" s="52"/>
      <c r="C44" s="52"/>
      <c r="D44" s="52"/>
      <c r="E44" s="53">
        <f>D44</f>
        <v>0</v>
      </c>
      <c r="F44" s="22"/>
      <c r="G44" s="23">
        <f>IF(G$8=$C44,$E44,0)</f>
        <v>0</v>
      </c>
      <c r="H44" s="23">
        <f>IF(H$8=$C44,$E44,0)</f>
        <v>0</v>
      </c>
      <c r="I44" s="23">
        <f>IF(I$8=$C44,$E44,0)</f>
        <v>0</v>
      </c>
      <c r="J44" s="23">
        <f>IF(J$8=$C44,$E44,0)</f>
        <v>0</v>
      </c>
      <c r="K44" s="23">
        <f>IF(K$8=$C44,$E44,0)</f>
        <v>0</v>
      </c>
      <c r="L44" s="23">
        <f>IF(L$8=$C44,$E44,0)</f>
        <v>0</v>
      </c>
      <c r="M44" s="23">
        <f>IF(M$8=$C44,$E44,0)</f>
        <v>0</v>
      </c>
      <c r="N44" s="23">
        <f>IF(N$8=$C44,$E44,0)</f>
        <v>0</v>
      </c>
    </row>
    <row r="45" ht="14.25" customHeight="1">
      <c r="A45" s="22"/>
      <c r="B45" s="22"/>
      <c r="C45" s="22"/>
      <c r="D45" s="22"/>
      <c r="E45" s="23">
        <f>D45</f>
        <v>0</v>
      </c>
      <c r="F45" s="22"/>
      <c r="G45" s="23">
        <f>IF(G$8=$C45,$E45,0)</f>
        <v>0</v>
      </c>
      <c r="H45" s="23">
        <f>IF(H$8=$C45,$E45,0)</f>
        <v>0</v>
      </c>
      <c r="I45" s="23">
        <f>IF(I$8=$C45,$E45,0)</f>
        <v>0</v>
      </c>
      <c r="J45" s="23">
        <f>IF(J$8=$C45,$E45,0)</f>
        <v>0</v>
      </c>
      <c r="K45" s="23">
        <f>IF(K$8=$C45,$E45,0)</f>
        <v>0</v>
      </c>
      <c r="L45" s="23">
        <f>IF(L$8=$C45,$E45,0)</f>
        <v>0</v>
      </c>
      <c r="M45" s="23">
        <f>IF(M$8=$C45,$E45,0)</f>
        <v>0</v>
      </c>
      <c r="N45" s="23">
        <f>IF(N$8=$C45,$E45,0)</f>
        <v>0</v>
      </c>
    </row>
    <row r="46" ht="14.25" customHeight="1">
      <c r="A46" s="25"/>
      <c r="B46" s="25"/>
      <c r="C46" s="25"/>
      <c r="D46" s="25"/>
      <c r="E46" s="26">
        <f>D46</f>
        <v>0</v>
      </c>
      <c r="F46" s="25"/>
      <c r="G46" s="26">
        <f>IF(G$8=$C46,$E46,0)</f>
        <v>0</v>
      </c>
      <c r="H46" s="26">
        <f>IF(H$8=$C46,$E46,0)</f>
        <v>0</v>
      </c>
      <c r="I46" s="26">
        <f>IF(I$8=$C46,$E46,0)</f>
        <v>0</v>
      </c>
      <c r="J46" s="26">
        <f>IF(J$8=$C46,$E46,0)</f>
        <v>0</v>
      </c>
      <c r="K46" s="26">
        <f>IF(K$8=$C46,$E46,0)</f>
        <v>0</v>
      </c>
      <c r="L46" s="26">
        <f>IF(L$8=$C46,$E46,0)</f>
        <v>0</v>
      </c>
      <c r="M46" s="26">
        <f>IF(M$8=$C46,$E46,0)</f>
        <v>0</v>
      </c>
      <c r="N46" s="26">
        <f>IF(N$8=$C46,$E46,0)</f>
        <v>0</v>
      </c>
    </row>
    <row r="47" ht="15" customHeight="1">
      <c r="A47" s="28"/>
      <c r="B47" s="28"/>
      <c r="C47" s="28"/>
      <c r="D47" s="29"/>
      <c r="E47" s="30">
        <f>SUM(E9:E46)</f>
        <v>0</v>
      </c>
      <c r="F47" s="19"/>
      <c r="G47" s="30">
        <f>SUM(G9:G46)</f>
        <v>0</v>
      </c>
      <c r="H47" s="30">
        <f>SUM(H9:H46)</f>
        <v>0</v>
      </c>
      <c r="I47" s="30">
        <f>SUM(I9:I46)</f>
        <v>0</v>
      </c>
      <c r="J47" s="30">
        <f>SUM(J9:J46)</f>
        <v>0</v>
      </c>
      <c r="K47" s="30">
        <f>SUM(K9:K46)</f>
        <v>0</v>
      </c>
      <c r="L47" s="30"/>
      <c r="M47" s="30">
        <f>SUM(M9:M46)</f>
        <v>0</v>
      </c>
      <c r="N47" s="30">
        <f>SUM(N9:N46)</f>
        <v>0</v>
      </c>
    </row>
    <row r="48" ht="15" customHeight="1">
      <c r="A48" s="3"/>
      <c r="B48" s="3"/>
      <c r="C48" s="3"/>
      <c r="D48" s="3"/>
      <c r="E48" s="28"/>
      <c r="F48" s="3"/>
      <c r="G48" s="28"/>
      <c r="H48" s="28"/>
      <c r="I48" s="28"/>
      <c r="J48" s="28"/>
      <c r="K48" s="28"/>
      <c r="L48" s="28"/>
      <c r="M48" s="28"/>
      <c r="N48" s="28"/>
    </row>
    <row r="49" ht="14.25" customHeight="1">
      <c r="A49" t="s" s="8">
        <v>14</v>
      </c>
      <c r="B49" t="s" s="32">
        <v>15</v>
      </c>
      <c r="C49" s="54"/>
      <c r="D49" s="54"/>
      <c r="E49" s="55"/>
      <c r="F49" s="54"/>
      <c r="G49" s="54"/>
      <c r="H49" s="3"/>
      <c r="I49" s="3"/>
      <c r="J49" s="3"/>
      <c r="K49" s="3"/>
      <c r="L49" s="3"/>
      <c r="M49" s="3"/>
      <c r="N49" s="3"/>
    </row>
    <row r="50" ht="14.25" customHeight="1">
      <c r="A50" s="3"/>
      <c r="B50" t="s" s="32">
        <v>16</v>
      </c>
      <c r="C50" s="56"/>
      <c r="D50" s="56"/>
      <c r="E50" s="55"/>
      <c r="F50" s="54"/>
      <c r="G50" s="54"/>
      <c r="H50" s="3"/>
      <c r="I50" s="3"/>
      <c r="J50" s="3"/>
      <c r="K50" s="3"/>
      <c r="L50" s="3"/>
      <c r="M50" s="3"/>
      <c r="N50" s="3"/>
    </row>
    <row r="51" ht="14.25" customHeight="1">
      <c r="A51" s="3"/>
      <c r="B51" s="54"/>
      <c r="C51" s="56"/>
      <c r="D51" s="56"/>
      <c r="E51" s="55"/>
      <c r="F51" s="54"/>
      <c r="G51" s="54"/>
      <c r="H51" s="3"/>
      <c r="I51" s="3"/>
      <c r="J51" s="3"/>
      <c r="K51" s="3"/>
      <c r="L51" s="3"/>
      <c r="M51" s="3"/>
      <c r="N51" s="3"/>
    </row>
    <row r="52" ht="31.5" customHeight="1">
      <c r="A52" t="s" s="8">
        <v>17</v>
      </c>
      <c r="B52" s="9"/>
      <c r="C52" s="33"/>
      <c r="D52" s="33"/>
      <c r="E52" s="5"/>
      <c r="F52" s="3"/>
      <c r="G52" s="3"/>
      <c r="H52" s="3"/>
      <c r="I52" s="3"/>
      <c r="J52" s="3"/>
      <c r="K52" s="3"/>
      <c r="L52" s="3"/>
      <c r="M52" s="3"/>
      <c r="N52" s="3"/>
    </row>
    <row r="53" ht="31.5" customHeight="1">
      <c r="A53" t="s" s="8">
        <v>18</v>
      </c>
      <c r="B53" s="11"/>
      <c r="C53" s="33"/>
      <c r="D53" s="33"/>
      <c r="E53" t="s" s="8">
        <v>19</v>
      </c>
      <c r="F53" s="3"/>
      <c r="G53" s="3"/>
      <c r="H53" s="9"/>
      <c r="I53" s="9"/>
      <c r="J53" s="9"/>
      <c r="K53" s="3"/>
      <c r="L53" s="3"/>
      <c r="M53" s="3"/>
      <c r="N53" s="3"/>
    </row>
    <row r="54" ht="31.5" customHeight="1">
      <c r="A54" s="3"/>
      <c r="B54" s="28"/>
      <c r="C54" s="33"/>
      <c r="D54" s="33"/>
      <c r="E54" t="s" s="8">
        <v>18</v>
      </c>
      <c r="F54" s="3"/>
      <c r="G54" s="3"/>
      <c r="H54" s="11"/>
      <c r="I54" s="11"/>
      <c r="J54" s="11"/>
      <c r="K54" s="3"/>
      <c r="L54" s="3"/>
      <c r="M54" s="3"/>
      <c r="N54" s="3"/>
    </row>
    <row r="55" ht="31.5" customHeight="1">
      <c r="A55" t="s" s="34">
        <v>20</v>
      </c>
      <c r="B55" s="9"/>
      <c r="C55" s="33"/>
      <c r="D55" s="33"/>
      <c r="E55" s="5"/>
      <c r="F55" s="3"/>
      <c r="G55" s="3"/>
      <c r="H55" s="28"/>
      <c r="I55" s="28"/>
      <c r="J55" s="28"/>
      <c r="K55" s="3"/>
      <c r="L55" s="3"/>
      <c r="M55" s="3"/>
      <c r="N55" s="3"/>
    </row>
    <row r="56" ht="43.5" customHeight="1">
      <c r="A56" t="s" s="34">
        <v>21</v>
      </c>
      <c r="B56" s="11"/>
      <c r="C56" s="33"/>
      <c r="D56" s="5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ht="31.5" customHeight="1">
      <c r="A57" t="s" s="8">
        <v>18</v>
      </c>
      <c r="B57" s="11"/>
      <c r="C57" s="33"/>
      <c r="D57" s="33"/>
      <c r="E57" s="5"/>
      <c r="F57" s="3"/>
      <c r="G57" s="3"/>
      <c r="H57" s="3"/>
      <c r="I57" s="3"/>
      <c r="J57" s="3"/>
      <c r="K57" s="3"/>
      <c r="L57" s="3"/>
      <c r="M57" s="3"/>
      <c r="N57" s="3"/>
    </row>
    <row r="58" ht="12.75" customHeight="1">
      <c r="A58" s="3"/>
      <c r="B58" s="28"/>
      <c r="C58" s="33"/>
      <c r="D58" s="3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</sheetData>
  <mergeCells count="2">
    <mergeCell ref="A1:N1"/>
    <mergeCell ref="A3:M3"/>
  </mergeCells>
  <dataValidations count="1">
    <dataValidation type="list" allowBlank="1" showInputMessage="1" showErrorMessage="1" sqref="C9:C46">
      <formula1>"旅费报销
(机票),旅费报销
(住宿费),旅费报销
(车费),旅费报销
(餐费),其它费用,通讯费"</formula1>
    </dataValidation>
  </dataValidations>
  <pageMargins left="0.747917" right="0.747917" top="0.509028" bottom="0.479167" header="0.510417" footer="0.510417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